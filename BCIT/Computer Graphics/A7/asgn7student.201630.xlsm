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.gen.laptop\Dropbox\BCIT\COMP4560 Computer Graphics\A7\"/>
    </mc:Choice>
  </mc:AlternateContent>
  <bookViews>
    <workbookView xWindow="480" yWindow="75" windowWidth="8055" windowHeight="7470" firstSheet="1" activeTab="1"/>
  </bookViews>
  <sheets>
    <sheet name="445705" sheetId="4" state="hidden" r:id="rId1"/>
    <sheet name="Main" sheetId="1" r:id="rId2"/>
    <sheet name="Main (2)" sheetId="8" state="hidden" r:id="rId3"/>
  </sheets>
  <definedNames>
    <definedName name="b" localSheetId="2">'Main (2)'!$C$31</definedName>
    <definedName name="b">Main!$C$31</definedName>
    <definedName name="cc" localSheetId="2">'Main (2)'!$C$32</definedName>
    <definedName name="cc">Main!$C$32</definedName>
    <definedName name="s" localSheetId="2">'Main (2)'!$C$30</definedName>
    <definedName name="s">Main!$C$30</definedName>
  </definedNames>
  <calcPr calcId="171027"/>
</workbook>
</file>

<file path=xl/calcChain.xml><?xml version="1.0" encoding="utf-8"?>
<calcChain xmlns="http://schemas.openxmlformats.org/spreadsheetml/2006/main">
  <c r="C454" i="1" l="1" a="1"/>
  <c r="C454" i="1" s="1"/>
  <c r="C443" i="1" a="1"/>
  <c r="C444" i="1" s="1"/>
  <c r="C432" i="1" a="1"/>
  <c r="C433" i="1" s="1"/>
  <c r="C421" i="1" a="1"/>
  <c r="C421" i="1" s="1"/>
  <c r="C410" i="1" a="1"/>
  <c r="D410" i="1" s="1"/>
  <c r="C399" i="1" a="1"/>
  <c r="D400" i="1" s="1"/>
  <c r="C388" i="1" a="1"/>
  <c r="D388" i="1" s="1"/>
  <c r="C377" i="1" a="1"/>
  <c r="C378" i="1" s="1"/>
  <c r="C366" i="1" a="1"/>
  <c r="C366" i="1" s="1"/>
  <c r="C355" i="1" a="1"/>
  <c r="C355" i="1" s="1"/>
  <c r="C344" i="1" a="1"/>
  <c r="D347" i="1" s="1"/>
  <c r="AE331" i="1"/>
  <c r="AF331" i="1"/>
  <c r="AG331" i="1"/>
  <c r="AH331" i="1"/>
  <c r="AE332" i="1"/>
  <c r="AF332" i="1"/>
  <c r="AG332" i="1"/>
  <c r="AH332" i="1"/>
  <c r="AE333" i="1"/>
  <c r="AF333" i="1"/>
  <c r="AG333" i="1"/>
  <c r="AH333" i="1"/>
  <c r="AF330" i="1"/>
  <c r="AG330" i="1"/>
  <c r="AH330" i="1"/>
  <c r="AE330" i="1"/>
  <c r="Z331" i="1"/>
  <c r="AA331" i="1"/>
  <c r="AB331" i="1"/>
  <c r="AC331" i="1"/>
  <c r="Z332" i="1"/>
  <c r="AA332" i="1"/>
  <c r="AB332" i="1"/>
  <c r="AC332" i="1"/>
  <c r="Z333" i="1"/>
  <c r="AA333" i="1"/>
  <c r="AB333" i="1"/>
  <c r="AC333" i="1"/>
  <c r="AA330" i="1"/>
  <c r="AB330" i="1"/>
  <c r="AC330" i="1"/>
  <c r="Z330" i="1"/>
  <c r="U331" i="1"/>
  <c r="V331" i="1"/>
  <c r="W331" i="1"/>
  <c r="X331" i="1"/>
  <c r="U332" i="1"/>
  <c r="V332" i="1"/>
  <c r="W332" i="1"/>
  <c r="X332" i="1"/>
  <c r="U333" i="1"/>
  <c r="V333" i="1"/>
  <c r="W333" i="1"/>
  <c r="X333" i="1"/>
  <c r="V330" i="1"/>
  <c r="W330" i="1"/>
  <c r="X330" i="1"/>
  <c r="U330" i="1"/>
  <c r="P331" i="1"/>
  <c r="Q331" i="1"/>
  <c r="R331" i="1"/>
  <c r="S331" i="1"/>
  <c r="P332" i="1"/>
  <c r="Q332" i="1"/>
  <c r="R332" i="1"/>
  <c r="S332" i="1"/>
  <c r="P333" i="1"/>
  <c r="Q333" i="1"/>
  <c r="R333" i="1"/>
  <c r="S333" i="1"/>
  <c r="Q330" i="1"/>
  <c r="R330" i="1"/>
  <c r="S330" i="1"/>
  <c r="P330" i="1"/>
  <c r="K331" i="1"/>
  <c r="L331" i="1"/>
  <c r="M331" i="1"/>
  <c r="N331" i="1"/>
  <c r="K332" i="1"/>
  <c r="L332" i="1"/>
  <c r="M332" i="1"/>
  <c r="N332" i="1"/>
  <c r="K333" i="1"/>
  <c r="L333" i="1"/>
  <c r="M333" i="1"/>
  <c r="N333" i="1"/>
  <c r="L330" i="1"/>
  <c r="M330" i="1"/>
  <c r="N330" i="1"/>
  <c r="K330" i="1"/>
  <c r="AE327" i="1"/>
  <c r="Z327" i="1"/>
  <c r="U327" i="1"/>
  <c r="P327" i="1"/>
  <c r="K327" i="1"/>
  <c r="D457" i="1" l="1"/>
  <c r="D456" i="1"/>
  <c r="C456" i="1"/>
  <c r="D455" i="1"/>
  <c r="D461" i="1"/>
  <c r="C457" i="1"/>
  <c r="D464" i="1"/>
  <c r="C460" i="1"/>
  <c r="D463" i="1"/>
  <c r="D459" i="1"/>
  <c r="C463" i="1"/>
  <c r="C459" i="1"/>
  <c r="C455" i="1"/>
  <c r="C461" i="1"/>
  <c r="D462" i="1"/>
  <c r="D458" i="1"/>
  <c r="D454" i="1"/>
  <c r="D460" i="1"/>
  <c r="C464" i="1"/>
  <c r="C462" i="1"/>
  <c r="C458" i="1"/>
  <c r="C450" i="1"/>
  <c r="C446" i="1"/>
  <c r="D451" i="1"/>
  <c r="D447" i="1"/>
  <c r="D443" i="1"/>
  <c r="C451" i="1"/>
  <c r="C447" i="1"/>
  <c r="C443" i="1"/>
  <c r="D450" i="1"/>
  <c r="D446" i="1"/>
  <c r="D453" i="1"/>
  <c r="D449" i="1"/>
  <c r="D445" i="1"/>
  <c r="C453" i="1"/>
  <c r="C449" i="1"/>
  <c r="C445" i="1"/>
  <c r="D452" i="1"/>
  <c r="D448" i="1"/>
  <c r="D444" i="1"/>
  <c r="C452" i="1"/>
  <c r="C448" i="1"/>
  <c r="C439" i="1"/>
  <c r="C435" i="1"/>
  <c r="D440" i="1"/>
  <c r="D436" i="1"/>
  <c r="D432" i="1"/>
  <c r="C440" i="1"/>
  <c r="C436" i="1"/>
  <c r="C432" i="1"/>
  <c r="D439" i="1"/>
  <c r="D435" i="1"/>
  <c r="D442" i="1"/>
  <c r="D438" i="1"/>
  <c r="D434" i="1"/>
  <c r="C442" i="1"/>
  <c r="C438" i="1"/>
  <c r="C434" i="1"/>
  <c r="D441" i="1"/>
  <c r="D437" i="1"/>
  <c r="D433" i="1"/>
  <c r="C441" i="1"/>
  <c r="C437" i="1"/>
  <c r="D428" i="1"/>
  <c r="D424" i="1"/>
  <c r="C428" i="1"/>
  <c r="C424" i="1"/>
  <c r="D431" i="1"/>
  <c r="D427" i="1"/>
  <c r="D423" i="1"/>
  <c r="C431" i="1"/>
  <c r="C427" i="1"/>
  <c r="C423" i="1"/>
  <c r="D422" i="1"/>
  <c r="D430" i="1"/>
  <c r="C430" i="1"/>
  <c r="C426" i="1"/>
  <c r="C422" i="1"/>
  <c r="D429" i="1"/>
  <c r="D425" i="1"/>
  <c r="D421" i="1"/>
  <c r="D426" i="1"/>
  <c r="C429" i="1"/>
  <c r="C425" i="1"/>
  <c r="C417" i="1"/>
  <c r="C413" i="1"/>
  <c r="C418" i="1"/>
  <c r="C410" i="1"/>
  <c r="D417" i="1"/>
  <c r="D413" i="1"/>
  <c r="D420" i="1"/>
  <c r="D416" i="1"/>
  <c r="D412" i="1"/>
  <c r="C420" i="1"/>
  <c r="C412" i="1"/>
  <c r="C419" i="1"/>
  <c r="C415" i="1"/>
  <c r="C411" i="1"/>
  <c r="C414" i="1"/>
  <c r="C416" i="1"/>
  <c r="D419" i="1"/>
  <c r="D415" i="1"/>
  <c r="D411" i="1"/>
  <c r="D418" i="1"/>
  <c r="D414" i="1"/>
  <c r="C406" i="1"/>
  <c r="C402" i="1"/>
  <c r="C409" i="1"/>
  <c r="C405" i="1"/>
  <c r="C401" i="1"/>
  <c r="D408" i="1"/>
  <c r="D404" i="1"/>
  <c r="C408" i="1"/>
  <c r="C404" i="1"/>
  <c r="C400" i="1"/>
  <c r="D407" i="1"/>
  <c r="D403" i="1"/>
  <c r="D399" i="1"/>
  <c r="C407" i="1"/>
  <c r="C403" i="1"/>
  <c r="C399" i="1"/>
  <c r="D406" i="1"/>
  <c r="D402" i="1"/>
  <c r="D409" i="1"/>
  <c r="D405" i="1"/>
  <c r="D401" i="1"/>
  <c r="C395" i="1"/>
  <c r="C391" i="1"/>
  <c r="C388" i="1"/>
  <c r="D395" i="1"/>
  <c r="D391" i="1"/>
  <c r="D398" i="1"/>
  <c r="D394" i="1"/>
  <c r="D390" i="1"/>
  <c r="C392" i="1"/>
  <c r="C398" i="1"/>
  <c r="C394" i="1"/>
  <c r="D393" i="1"/>
  <c r="C397" i="1"/>
  <c r="C393" i="1"/>
  <c r="C389" i="1"/>
  <c r="C396" i="1"/>
  <c r="C390" i="1"/>
  <c r="D397" i="1"/>
  <c r="D389" i="1"/>
  <c r="D396" i="1"/>
  <c r="D392" i="1"/>
  <c r="D381" i="1"/>
  <c r="C385" i="1"/>
  <c r="C381" i="1"/>
  <c r="C377" i="1"/>
  <c r="D384" i="1"/>
  <c r="D380" i="1"/>
  <c r="C384" i="1"/>
  <c r="C380" i="1"/>
  <c r="D385" i="1"/>
  <c r="D383" i="1"/>
  <c r="C387" i="1"/>
  <c r="D386" i="1"/>
  <c r="D382" i="1"/>
  <c r="D378" i="1"/>
  <c r="D377" i="1"/>
  <c r="D387" i="1"/>
  <c r="D379" i="1"/>
  <c r="C383" i="1"/>
  <c r="C379" i="1"/>
  <c r="C386" i="1"/>
  <c r="C382" i="1"/>
  <c r="C373" i="1"/>
  <c r="C369" i="1"/>
  <c r="D369" i="1"/>
  <c r="D376" i="1"/>
  <c r="D372" i="1"/>
  <c r="D368" i="1"/>
  <c r="D373" i="1"/>
  <c r="C376" i="1"/>
  <c r="C372" i="1"/>
  <c r="C368" i="1"/>
  <c r="D367" i="1"/>
  <c r="C375" i="1"/>
  <c r="C371" i="1"/>
  <c r="C367" i="1"/>
  <c r="D371" i="1"/>
  <c r="D374" i="1"/>
  <c r="D370" i="1"/>
  <c r="D366" i="1"/>
  <c r="D375" i="1"/>
  <c r="C374" i="1"/>
  <c r="C370" i="1"/>
  <c r="C362" i="1"/>
  <c r="C358" i="1"/>
  <c r="C357" i="1"/>
  <c r="D358" i="1"/>
  <c r="D361" i="1"/>
  <c r="C365" i="1"/>
  <c r="D364" i="1"/>
  <c r="C364" i="1"/>
  <c r="C360" i="1"/>
  <c r="C356" i="1"/>
  <c r="D362" i="1"/>
  <c r="D365" i="1"/>
  <c r="D357" i="1"/>
  <c r="C361" i="1"/>
  <c r="D360" i="1"/>
  <c r="D356" i="1"/>
  <c r="D363" i="1"/>
  <c r="D359" i="1"/>
  <c r="D355" i="1"/>
  <c r="C363" i="1"/>
  <c r="C359" i="1"/>
  <c r="C351" i="1"/>
  <c r="C347" i="1"/>
  <c r="D349" i="1"/>
  <c r="D352" i="1"/>
  <c r="D348" i="1"/>
  <c r="D344" i="1"/>
  <c r="C352" i="1"/>
  <c r="C348" i="1"/>
  <c r="C344" i="1"/>
  <c r="D351" i="1"/>
  <c r="D354" i="1"/>
  <c r="D350" i="1"/>
  <c r="D346" i="1"/>
  <c r="C354" i="1"/>
  <c r="C350" i="1"/>
  <c r="C346" i="1"/>
  <c r="D353" i="1"/>
  <c r="D345" i="1"/>
  <c r="C353" i="1"/>
  <c r="C349" i="1"/>
  <c r="C345" i="1"/>
  <c r="G325" i="1"/>
  <c r="H325" i="1"/>
  <c r="I325" i="1"/>
  <c r="G326" i="1"/>
  <c r="H326" i="1"/>
  <c r="I326" i="1"/>
  <c r="G327" i="1"/>
  <c r="H327" i="1"/>
  <c r="I327" i="1"/>
  <c r="G328" i="1"/>
  <c r="H328" i="1"/>
  <c r="I328" i="1"/>
  <c r="G329" i="1"/>
  <c r="H329" i="1"/>
  <c r="I329" i="1"/>
  <c r="G330" i="1"/>
  <c r="H330" i="1"/>
  <c r="I330" i="1"/>
  <c r="G331" i="1"/>
  <c r="H331" i="1"/>
  <c r="I331" i="1"/>
  <c r="G332" i="1"/>
  <c r="H332" i="1"/>
  <c r="I332" i="1"/>
  <c r="G333" i="1"/>
  <c r="H333" i="1"/>
  <c r="I333" i="1"/>
  <c r="G324" i="1"/>
  <c r="H324" i="1"/>
  <c r="I324" i="1"/>
  <c r="H323" i="1"/>
  <c r="I323" i="1"/>
  <c r="G323" i="1"/>
  <c r="A199" i="1" l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O176" i="1"/>
  <c r="A179" i="1"/>
  <c r="B178" i="1"/>
  <c r="C178" i="1" s="1"/>
  <c r="D178" i="1" s="1"/>
  <c r="E178" i="1" s="1"/>
  <c r="F178" i="1" s="1"/>
  <c r="G178" i="1" s="1"/>
  <c r="H178" i="1" s="1"/>
  <c r="I178" i="1" s="1"/>
  <c r="J178" i="1" s="1"/>
  <c r="K178" i="1" s="1"/>
  <c r="L178" i="1" s="1"/>
  <c r="M178" i="1" s="1"/>
  <c r="N178" i="1" s="1"/>
  <c r="O178" i="1" s="1"/>
  <c r="N161" i="1"/>
  <c r="M161" i="1" s="1"/>
  <c r="N162" i="1"/>
  <c r="N163" i="1"/>
  <c r="M163" i="1" s="1"/>
  <c r="N164" i="1"/>
  <c r="M165" i="1"/>
  <c r="N165" i="1"/>
  <c r="N166" i="1"/>
  <c r="N167" i="1"/>
  <c r="N168" i="1"/>
  <c r="N169" i="1"/>
  <c r="N170" i="1"/>
  <c r="M170" i="1" s="1"/>
  <c r="L170" i="1" s="1"/>
  <c r="N171" i="1"/>
  <c r="M171" i="1" s="1"/>
  <c r="N172" i="1"/>
  <c r="M172" i="1" s="1"/>
  <c r="L172" i="1" s="1"/>
  <c r="K172" i="1" s="1"/>
  <c r="J172" i="1" s="1"/>
  <c r="I172" i="1" s="1"/>
  <c r="H172" i="1" s="1"/>
  <c r="G172" i="1" s="1"/>
  <c r="F172" i="1" s="1"/>
  <c r="E172" i="1" s="1"/>
  <c r="D172" i="1" s="1"/>
  <c r="C172" i="1" s="1"/>
  <c r="B172" i="1" s="1"/>
  <c r="N176" i="1" s="1"/>
  <c r="N160" i="1"/>
  <c r="C159" i="1"/>
  <c r="D159" i="1" s="1"/>
  <c r="E159" i="1" s="1"/>
  <c r="F159" i="1" s="1"/>
  <c r="G159" i="1" s="1"/>
  <c r="H159" i="1" s="1"/>
  <c r="I159" i="1" s="1"/>
  <c r="J159" i="1" s="1"/>
  <c r="K159" i="1" s="1"/>
  <c r="L159" i="1" s="1"/>
  <c r="M159" i="1" s="1"/>
  <c r="N159" i="1" s="1"/>
  <c r="O159" i="1" s="1"/>
  <c r="B159" i="1"/>
  <c r="A161" i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60" i="1"/>
  <c r="M166" i="1" l="1"/>
  <c r="A180" i="1"/>
  <c r="N179" i="1"/>
  <c r="L171" i="1"/>
  <c r="K171" i="1" s="1"/>
  <c r="J171" i="1" s="1"/>
  <c r="I171" i="1" s="1"/>
  <c r="H171" i="1" s="1"/>
  <c r="G171" i="1" s="1"/>
  <c r="F171" i="1" s="1"/>
  <c r="E171" i="1" s="1"/>
  <c r="D171" i="1" s="1"/>
  <c r="C171" i="1" s="1"/>
  <c r="B171" i="1" s="1"/>
  <c r="M176" i="1" s="1"/>
  <c r="M179" i="1" s="1"/>
  <c r="M164" i="1"/>
  <c r="L164" i="1" s="1"/>
  <c r="M169" i="1"/>
  <c r="M160" i="1"/>
  <c r="M167" i="1"/>
  <c r="M162" i="1"/>
  <c r="L162" i="1" s="1"/>
  <c r="L166" i="1"/>
  <c r="L165" i="1"/>
  <c r="K165" i="1" s="1"/>
  <c r="L169" i="1"/>
  <c r="K169" i="1" s="1"/>
  <c r="L163" i="1"/>
  <c r="K163" i="1" s="1"/>
  <c r="L161" i="1"/>
  <c r="K161" i="1" s="1"/>
  <c r="M168" i="1"/>
  <c r="L168" i="1" s="1"/>
  <c r="K168" i="1" s="1"/>
  <c r="J168" i="1" s="1"/>
  <c r="L160" i="1"/>
  <c r="K162" i="1" l="1"/>
  <c r="J162" i="1" s="1"/>
  <c r="A181" i="1"/>
  <c r="N180" i="1"/>
  <c r="M180" i="1"/>
  <c r="L180" i="1"/>
  <c r="K170" i="1"/>
  <c r="J170" i="1" s="1"/>
  <c r="I170" i="1" s="1"/>
  <c r="H170" i="1" s="1"/>
  <c r="G170" i="1" s="1"/>
  <c r="F170" i="1" s="1"/>
  <c r="E170" i="1" s="1"/>
  <c r="D170" i="1" s="1"/>
  <c r="C170" i="1" s="1"/>
  <c r="B170" i="1" s="1"/>
  <c r="L176" i="1" s="1"/>
  <c r="K160" i="1"/>
  <c r="J160" i="1" s="1"/>
  <c r="L167" i="1"/>
  <c r="K167" i="1" s="1"/>
  <c r="J167" i="1" s="1"/>
  <c r="I167" i="1" s="1"/>
  <c r="K164" i="1"/>
  <c r="J164" i="1" s="1"/>
  <c r="A182" i="1" l="1"/>
  <c r="M181" i="1"/>
  <c r="N181" i="1"/>
  <c r="L181" i="1"/>
  <c r="J169" i="1"/>
  <c r="J161" i="1"/>
  <c r="I161" i="1" s="1"/>
  <c r="L179" i="1"/>
  <c r="O179" i="1"/>
  <c r="J163" i="1"/>
  <c r="K166" i="1"/>
  <c r="A183" i="1" l="1"/>
  <c r="L182" i="1"/>
  <c r="M182" i="1"/>
  <c r="N182" i="1"/>
  <c r="I169" i="1"/>
  <c r="H169" i="1" s="1"/>
  <c r="G169" i="1" s="1"/>
  <c r="F169" i="1" s="1"/>
  <c r="E169" i="1" s="1"/>
  <c r="D169" i="1" s="1"/>
  <c r="C169" i="1" s="1"/>
  <c r="B169" i="1" s="1"/>
  <c r="K176" i="1" s="1"/>
  <c r="I168" i="1"/>
  <c r="I160" i="1"/>
  <c r="H160" i="1" s="1"/>
  <c r="I163" i="1"/>
  <c r="I162" i="1"/>
  <c r="J166" i="1"/>
  <c r="I166" i="1" s="1"/>
  <c r="H166" i="1" s="1"/>
  <c r="J165" i="1"/>
  <c r="H168" i="1" l="1"/>
  <c r="G168" i="1" s="1"/>
  <c r="F168" i="1" s="1"/>
  <c r="E168" i="1" s="1"/>
  <c r="D168" i="1" s="1"/>
  <c r="C168" i="1" s="1"/>
  <c r="B168" i="1" s="1"/>
  <c r="J176" i="1" s="1"/>
  <c r="H167" i="1"/>
  <c r="G167" i="1" s="1"/>
  <c r="F167" i="1" s="1"/>
  <c r="E167" i="1" s="1"/>
  <c r="D167" i="1" s="1"/>
  <c r="C167" i="1" s="1"/>
  <c r="B167" i="1" s="1"/>
  <c r="I176" i="1" s="1"/>
  <c r="K179" i="1"/>
  <c r="K180" i="1"/>
  <c r="K181" i="1"/>
  <c r="G166" i="1"/>
  <c r="F166" i="1" s="1"/>
  <c r="E166" i="1" s="1"/>
  <c r="D166" i="1" s="1"/>
  <c r="C166" i="1" s="1"/>
  <c r="B166" i="1" s="1"/>
  <c r="H176" i="1" s="1"/>
  <c r="K182" i="1"/>
  <c r="A184" i="1"/>
  <c r="L183" i="1"/>
  <c r="N183" i="1"/>
  <c r="M183" i="1"/>
  <c r="K183" i="1"/>
  <c r="J183" i="1"/>
  <c r="I183" i="1"/>
  <c r="H162" i="1"/>
  <c r="H161" i="1"/>
  <c r="I165" i="1"/>
  <c r="H165" i="1" s="1"/>
  <c r="G165" i="1" s="1"/>
  <c r="F165" i="1" s="1"/>
  <c r="E165" i="1" s="1"/>
  <c r="D165" i="1" s="1"/>
  <c r="C165" i="1" s="1"/>
  <c r="B165" i="1" s="1"/>
  <c r="G176" i="1" s="1"/>
  <c r="I164" i="1"/>
  <c r="A185" i="1" l="1"/>
  <c r="H184" i="1"/>
  <c r="M184" i="1"/>
  <c r="I184" i="1"/>
  <c r="G184" i="1"/>
  <c r="N184" i="1"/>
  <c r="L184" i="1"/>
  <c r="K184" i="1"/>
  <c r="J184" i="1"/>
  <c r="H179" i="1"/>
  <c r="H180" i="1"/>
  <c r="H181" i="1"/>
  <c r="H182" i="1"/>
  <c r="I179" i="1"/>
  <c r="I180" i="1"/>
  <c r="I181" i="1"/>
  <c r="I182" i="1"/>
  <c r="G179" i="1"/>
  <c r="H164" i="1"/>
  <c r="G164" i="1" s="1"/>
  <c r="F164" i="1" s="1"/>
  <c r="E164" i="1" s="1"/>
  <c r="D164" i="1" s="1"/>
  <c r="C164" i="1" s="1"/>
  <c r="B164" i="1" s="1"/>
  <c r="F176" i="1" s="1"/>
  <c r="H183" i="1"/>
  <c r="J179" i="1"/>
  <c r="J180" i="1"/>
  <c r="J181" i="1"/>
  <c r="J182" i="1"/>
  <c r="H163" i="1"/>
  <c r="G161" i="1"/>
  <c r="G180" i="1" s="1"/>
  <c r="G160" i="1"/>
  <c r="F160" i="1" s="1"/>
  <c r="F179" i="1" l="1"/>
  <c r="F183" i="1"/>
  <c r="G163" i="1"/>
  <c r="A186" i="1"/>
  <c r="K185" i="1"/>
  <c r="G185" i="1"/>
  <c r="L185" i="1"/>
  <c r="H185" i="1"/>
  <c r="F185" i="1"/>
  <c r="N185" i="1"/>
  <c r="M185" i="1"/>
  <c r="J185" i="1"/>
  <c r="I185" i="1"/>
  <c r="F184" i="1"/>
  <c r="G183" i="1"/>
  <c r="G162" i="1"/>
  <c r="A187" i="1" l="1"/>
  <c r="K186" i="1"/>
  <c r="G186" i="1"/>
  <c r="H186" i="1"/>
  <c r="J186" i="1"/>
  <c r="I186" i="1"/>
  <c r="F186" i="1"/>
  <c r="N186" i="1"/>
  <c r="M186" i="1"/>
  <c r="L186" i="1"/>
  <c r="F163" i="1"/>
  <c r="G182" i="1"/>
  <c r="F162" i="1"/>
  <c r="G181" i="1"/>
  <c r="F161" i="1"/>
  <c r="F180" i="1" s="1"/>
  <c r="E163" i="1" l="1"/>
  <c r="D163" i="1" s="1"/>
  <c r="C163" i="1" s="1"/>
  <c r="B163" i="1" s="1"/>
  <c r="E176" i="1" s="1"/>
  <c r="F182" i="1"/>
  <c r="E162" i="1"/>
  <c r="D162" i="1" s="1"/>
  <c r="C162" i="1" s="1"/>
  <c r="B162" i="1" s="1"/>
  <c r="D176" i="1" s="1"/>
  <c r="D187" i="1" s="1"/>
  <c r="F181" i="1"/>
  <c r="A188" i="1"/>
  <c r="N187" i="1"/>
  <c r="J187" i="1"/>
  <c r="F187" i="1"/>
  <c r="I187" i="1"/>
  <c r="H187" i="1"/>
  <c r="G187" i="1"/>
  <c r="E187" i="1"/>
  <c r="M187" i="1"/>
  <c r="L187" i="1"/>
  <c r="K187" i="1"/>
  <c r="E161" i="1"/>
  <c r="D161" i="1" s="1"/>
  <c r="C161" i="1" s="1"/>
  <c r="B161" i="1" s="1"/>
  <c r="C176" i="1" s="1"/>
  <c r="C187" i="1" s="1"/>
  <c r="E160" i="1"/>
  <c r="A189" i="1" l="1"/>
  <c r="N188" i="1"/>
  <c r="J188" i="1"/>
  <c r="F188" i="1"/>
  <c r="K188" i="1"/>
  <c r="G188" i="1"/>
  <c r="C188" i="1"/>
  <c r="L188" i="1"/>
  <c r="I188" i="1"/>
  <c r="H188" i="1"/>
  <c r="E188" i="1"/>
  <c r="D188" i="1"/>
  <c r="M188" i="1"/>
  <c r="D180" i="1"/>
  <c r="D181" i="1"/>
  <c r="D182" i="1"/>
  <c r="D183" i="1"/>
  <c r="D184" i="1"/>
  <c r="D185" i="1"/>
  <c r="D186" i="1"/>
  <c r="C180" i="1"/>
  <c r="C181" i="1"/>
  <c r="C182" i="1"/>
  <c r="C183" i="1"/>
  <c r="C184" i="1"/>
  <c r="C185" i="1"/>
  <c r="C186" i="1"/>
  <c r="E179" i="1"/>
  <c r="E180" i="1"/>
  <c r="E181" i="1"/>
  <c r="E182" i="1"/>
  <c r="E183" i="1"/>
  <c r="E184" i="1"/>
  <c r="E185" i="1"/>
  <c r="E186" i="1"/>
  <c r="D160" i="1"/>
  <c r="C160" i="1" s="1"/>
  <c r="B160" i="1" s="1"/>
  <c r="B176" i="1" s="1"/>
  <c r="B179" i="1" l="1"/>
  <c r="B180" i="1"/>
  <c r="B181" i="1"/>
  <c r="B182" i="1"/>
  <c r="B183" i="1"/>
  <c r="B184" i="1"/>
  <c r="B185" i="1"/>
  <c r="B186" i="1"/>
  <c r="B187" i="1"/>
  <c r="C179" i="1"/>
  <c r="D179" i="1"/>
  <c r="B188" i="1"/>
  <c r="A190" i="1"/>
  <c r="M189" i="1"/>
  <c r="I189" i="1"/>
  <c r="E189" i="1"/>
  <c r="B189" i="1"/>
  <c r="K189" i="1"/>
  <c r="L189" i="1"/>
  <c r="J189" i="1"/>
  <c r="H189" i="1"/>
  <c r="G189" i="1"/>
  <c r="F189" i="1"/>
  <c r="N189" i="1"/>
  <c r="D189" i="1"/>
  <c r="C189" i="1"/>
  <c r="C54" i="1"/>
  <c r="C57" i="1"/>
  <c r="C60" i="1"/>
  <c r="C68" i="1"/>
  <c r="C53" i="1"/>
  <c r="A53" i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C153" i="1" s="1"/>
  <c r="F153" i="1" l="1"/>
  <c r="N153" i="1"/>
  <c r="H153" i="1"/>
  <c r="I153" i="1"/>
  <c r="J153" i="1"/>
  <c r="K153" i="1"/>
  <c r="E153" i="1"/>
  <c r="M153" i="1"/>
  <c r="D153" i="1"/>
  <c r="G153" i="1"/>
  <c r="L153" i="1"/>
  <c r="O153" i="1"/>
  <c r="C147" i="1"/>
  <c r="C139" i="1"/>
  <c r="C131" i="1"/>
  <c r="C123" i="1"/>
  <c r="C115" i="1"/>
  <c r="C107" i="1"/>
  <c r="C99" i="1"/>
  <c r="C91" i="1"/>
  <c r="C83" i="1"/>
  <c r="C75" i="1"/>
  <c r="C67" i="1"/>
  <c r="C59" i="1"/>
  <c r="C124" i="1"/>
  <c r="C92" i="1"/>
  <c r="I68" i="1"/>
  <c r="L68" i="1"/>
  <c r="D68" i="1"/>
  <c r="M68" i="1"/>
  <c r="E68" i="1"/>
  <c r="N68" i="1"/>
  <c r="F68" i="1"/>
  <c r="O68" i="1"/>
  <c r="G68" i="1"/>
  <c r="H68" i="1"/>
  <c r="J68" i="1"/>
  <c r="K68" i="1"/>
  <c r="I60" i="1"/>
  <c r="G60" i="1"/>
  <c r="H60" i="1"/>
  <c r="J60" i="1"/>
  <c r="K60" i="1"/>
  <c r="L60" i="1"/>
  <c r="D60" i="1"/>
  <c r="M60" i="1"/>
  <c r="E60" i="1"/>
  <c r="N60" i="1"/>
  <c r="F60" i="1"/>
  <c r="O60" i="1"/>
  <c r="J53" i="1"/>
  <c r="E53" i="1"/>
  <c r="F53" i="1"/>
  <c r="O53" i="1"/>
  <c r="I53" i="1"/>
  <c r="N53" i="1"/>
  <c r="H53" i="1"/>
  <c r="M53" i="1"/>
  <c r="D53" i="1"/>
  <c r="K53" i="1"/>
  <c r="G53" i="1"/>
  <c r="L53" i="1"/>
  <c r="C146" i="1"/>
  <c r="C138" i="1"/>
  <c r="C130" i="1"/>
  <c r="C122" i="1"/>
  <c r="C114" i="1"/>
  <c r="C106" i="1"/>
  <c r="C98" i="1"/>
  <c r="C90" i="1"/>
  <c r="C82" i="1"/>
  <c r="C74" i="1"/>
  <c r="C66" i="1"/>
  <c r="C58" i="1"/>
  <c r="C137" i="1"/>
  <c r="C148" i="1"/>
  <c r="C116" i="1"/>
  <c r="C84" i="1"/>
  <c r="C129" i="1"/>
  <c r="C105" i="1"/>
  <c r="C89" i="1"/>
  <c r="C73" i="1"/>
  <c r="E57" i="1"/>
  <c r="M57" i="1"/>
  <c r="G57" i="1"/>
  <c r="H57" i="1"/>
  <c r="I57" i="1"/>
  <c r="J57" i="1"/>
  <c r="K57" i="1"/>
  <c r="L57" i="1"/>
  <c r="D57" i="1"/>
  <c r="N57" i="1"/>
  <c r="F57" i="1"/>
  <c r="O57" i="1"/>
  <c r="C152" i="1"/>
  <c r="C144" i="1"/>
  <c r="C136" i="1"/>
  <c r="C128" i="1"/>
  <c r="C120" i="1"/>
  <c r="C112" i="1"/>
  <c r="C104" i="1"/>
  <c r="C96" i="1"/>
  <c r="C88" i="1"/>
  <c r="C80" i="1"/>
  <c r="C72" i="1"/>
  <c r="C64" i="1"/>
  <c r="C56" i="1"/>
  <c r="A191" i="1"/>
  <c r="L190" i="1"/>
  <c r="M190" i="1"/>
  <c r="I190" i="1"/>
  <c r="E190" i="1"/>
  <c r="N190" i="1"/>
  <c r="J190" i="1"/>
  <c r="F190" i="1"/>
  <c r="K190" i="1"/>
  <c r="H190" i="1"/>
  <c r="G190" i="1"/>
  <c r="D190" i="1"/>
  <c r="C190" i="1"/>
  <c r="B190" i="1"/>
  <c r="C132" i="1"/>
  <c r="C108" i="1"/>
  <c r="C76" i="1"/>
  <c r="C145" i="1"/>
  <c r="C121" i="1"/>
  <c r="C113" i="1"/>
  <c r="C97" i="1"/>
  <c r="C81" i="1"/>
  <c r="C65" i="1"/>
  <c r="C151" i="1"/>
  <c r="C143" i="1"/>
  <c r="C135" i="1"/>
  <c r="C127" i="1"/>
  <c r="C119" i="1"/>
  <c r="C111" i="1"/>
  <c r="C103" i="1"/>
  <c r="C95" i="1"/>
  <c r="C87" i="1"/>
  <c r="C79" i="1"/>
  <c r="C71" i="1"/>
  <c r="C63" i="1"/>
  <c r="C55" i="1"/>
  <c r="C118" i="1"/>
  <c r="C140" i="1"/>
  <c r="C150" i="1"/>
  <c r="C142" i="1"/>
  <c r="C134" i="1"/>
  <c r="C126" i="1"/>
  <c r="C110" i="1"/>
  <c r="C102" i="1"/>
  <c r="C94" i="1"/>
  <c r="C86" i="1"/>
  <c r="C78" i="1"/>
  <c r="C70" i="1"/>
  <c r="C62" i="1"/>
  <c r="H54" i="1"/>
  <c r="I54" i="1"/>
  <c r="K54" i="1"/>
  <c r="J54" i="1"/>
  <c r="L54" i="1"/>
  <c r="M54" i="1"/>
  <c r="N54" i="1"/>
  <c r="D54" i="1"/>
  <c r="O54" i="1"/>
  <c r="E54" i="1"/>
  <c r="F54" i="1"/>
  <c r="G54" i="1"/>
  <c r="C149" i="1"/>
  <c r="C141" i="1"/>
  <c r="C133" i="1"/>
  <c r="C125" i="1"/>
  <c r="C117" i="1"/>
  <c r="C109" i="1"/>
  <c r="C101" i="1"/>
  <c r="C93" i="1"/>
  <c r="C85" i="1"/>
  <c r="C77" i="1"/>
  <c r="C69" i="1"/>
  <c r="C61" i="1"/>
  <c r="C100" i="1"/>
  <c r="F94" i="1" l="1"/>
  <c r="N94" i="1"/>
  <c r="G94" i="1"/>
  <c r="O94" i="1"/>
  <c r="H94" i="1"/>
  <c r="I94" i="1"/>
  <c r="J94" i="1"/>
  <c r="K94" i="1"/>
  <c r="D94" i="1"/>
  <c r="L94" i="1"/>
  <c r="E94" i="1"/>
  <c r="M94" i="1"/>
  <c r="J118" i="1"/>
  <c r="K118" i="1"/>
  <c r="D118" i="1"/>
  <c r="L118" i="1"/>
  <c r="E118" i="1"/>
  <c r="M118" i="1"/>
  <c r="F118" i="1"/>
  <c r="N118" i="1"/>
  <c r="H118" i="1"/>
  <c r="G118" i="1"/>
  <c r="O118" i="1"/>
  <c r="I118" i="1"/>
  <c r="F111" i="1"/>
  <c r="N111" i="1"/>
  <c r="G111" i="1"/>
  <c r="H111" i="1"/>
  <c r="I111" i="1"/>
  <c r="J111" i="1"/>
  <c r="K111" i="1"/>
  <c r="L111" i="1"/>
  <c r="D111" i="1"/>
  <c r="E111" i="1"/>
  <c r="M111" i="1"/>
  <c r="O111" i="1"/>
  <c r="J97" i="1"/>
  <c r="K97" i="1"/>
  <c r="D97" i="1"/>
  <c r="L97" i="1"/>
  <c r="E97" i="1"/>
  <c r="M97" i="1"/>
  <c r="F97" i="1"/>
  <c r="N97" i="1"/>
  <c r="G97" i="1"/>
  <c r="O97" i="1"/>
  <c r="H97" i="1"/>
  <c r="I97" i="1"/>
  <c r="I80" i="1"/>
  <c r="E80" i="1"/>
  <c r="N80" i="1"/>
  <c r="F80" i="1"/>
  <c r="O80" i="1"/>
  <c r="G80" i="1"/>
  <c r="H80" i="1"/>
  <c r="J80" i="1"/>
  <c r="K80" i="1"/>
  <c r="L80" i="1"/>
  <c r="D80" i="1"/>
  <c r="M80" i="1"/>
  <c r="J144" i="1"/>
  <c r="D144" i="1"/>
  <c r="L144" i="1"/>
  <c r="E144" i="1"/>
  <c r="M144" i="1"/>
  <c r="F144" i="1"/>
  <c r="N144" i="1"/>
  <c r="G144" i="1"/>
  <c r="O144" i="1"/>
  <c r="I144" i="1"/>
  <c r="K144" i="1"/>
  <c r="H144" i="1"/>
  <c r="F105" i="1"/>
  <c r="N105" i="1"/>
  <c r="G105" i="1"/>
  <c r="O105" i="1"/>
  <c r="H105" i="1"/>
  <c r="I105" i="1"/>
  <c r="J105" i="1"/>
  <c r="K105" i="1"/>
  <c r="D105" i="1"/>
  <c r="L105" i="1"/>
  <c r="E105" i="1"/>
  <c r="M105" i="1"/>
  <c r="I74" i="1"/>
  <c r="D74" i="1"/>
  <c r="M74" i="1"/>
  <c r="E74" i="1"/>
  <c r="N74" i="1"/>
  <c r="F74" i="1"/>
  <c r="O74" i="1"/>
  <c r="G74" i="1"/>
  <c r="H74" i="1"/>
  <c r="J74" i="1"/>
  <c r="K74" i="1"/>
  <c r="L74" i="1"/>
  <c r="J138" i="1"/>
  <c r="D138" i="1"/>
  <c r="L138" i="1"/>
  <c r="E138" i="1"/>
  <c r="M138" i="1"/>
  <c r="F138" i="1"/>
  <c r="N138" i="1"/>
  <c r="G138" i="1"/>
  <c r="O138" i="1"/>
  <c r="I138" i="1"/>
  <c r="K138" i="1"/>
  <c r="H138" i="1"/>
  <c r="E59" i="1"/>
  <c r="M59" i="1"/>
  <c r="J59" i="1"/>
  <c r="K59" i="1"/>
  <c r="L59" i="1"/>
  <c r="D59" i="1"/>
  <c r="N59" i="1"/>
  <c r="F59" i="1"/>
  <c r="O59" i="1"/>
  <c r="G59" i="1"/>
  <c r="H59" i="1"/>
  <c r="I59" i="1"/>
  <c r="F123" i="1"/>
  <c r="N123" i="1"/>
  <c r="H123" i="1"/>
  <c r="I123" i="1"/>
  <c r="J123" i="1"/>
  <c r="K123" i="1"/>
  <c r="E123" i="1"/>
  <c r="M123" i="1"/>
  <c r="G123" i="1"/>
  <c r="L123" i="1"/>
  <c r="O123" i="1"/>
  <c r="D123" i="1"/>
  <c r="F102" i="1"/>
  <c r="N102" i="1"/>
  <c r="G102" i="1"/>
  <c r="O102" i="1"/>
  <c r="H102" i="1"/>
  <c r="I102" i="1"/>
  <c r="K102" i="1"/>
  <c r="D102" i="1"/>
  <c r="L102" i="1"/>
  <c r="E102" i="1"/>
  <c r="J102" i="1"/>
  <c r="M102" i="1"/>
  <c r="D55" i="1"/>
  <c r="L55" i="1"/>
  <c r="E55" i="1"/>
  <c r="M55" i="1"/>
  <c r="G55" i="1"/>
  <c r="J55" i="1"/>
  <c r="K55" i="1"/>
  <c r="N55" i="1"/>
  <c r="O55" i="1"/>
  <c r="F55" i="1"/>
  <c r="H55" i="1"/>
  <c r="I55" i="1"/>
  <c r="F119" i="1"/>
  <c r="N119" i="1"/>
  <c r="G119" i="1"/>
  <c r="H119" i="1"/>
  <c r="I119" i="1"/>
  <c r="J119" i="1"/>
  <c r="L119" i="1"/>
  <c r="K119" i="1"/>
  <c r="D119" i="1"/>
  <c r="E119" i="1"/>
  <c r="M119" i="1"/>
  <c r="O119" i="1"/>
  <c r="F113" i="1"/>
  <c r="N113" i="1"/>
  <c r="G113" i="1"/>
  <c r="O113" i="1"/>
  <c r="H113" i="1"/>
  <c r="L113" i="1"/>
  <c r="I113" i="1"/>
  <c r="J113" i="1"/>
  <c r="K113" i="1"/>
  <c r="D113" i="1"/>
  <c r="E113" i="1"/>
  <c r="M113" i="1"/>
  <c r="I88" i="1"/>
  <c r="J88" i="1"/>
  <c r="K88" i="1"/>
  <c r="L88" i="1"/>
  <c r="D88" i="1"/>
  <c r="M88" i="1"/>
  <c r="E88" i="1"/>
  <c r="N88" i="1"/>
  <c r="F88" i="1"/>
  <c r="O88" i="1"/>
  <c r="G88" i="1"/>
  <c r="H88" i="1"/>
  <c r="J152" i="1"/>
  <c r="D152" i="1"/>
  <c r="L152" i="1"/>
  <c r="E152" i="1"/>
  <c r="M152" i="1"/>
  <c r="F152" i="1"/>
  <c r="N152" i="1"/>
  <c r="O152" i="1"/>
  <c r="G152" i="1"/>
  <c r="I152" i="1"/>
  <c r="H152" i="1"/>
  <c r="K152" i="1"/>
  <c r="F129" i="1"/>
  <c r="N129" i="1"/>
  <c r="H129" i="1"/>
  <c r="I129" i="1"/>
  <c r="J129" i="1"/>
  <c r="K129" i="1"/>
  <c r="E129" i="1"/>
  <c r="M129" i="1"/>
  <c r="O129" i="1"/>
  <c r="D129" i="1"/>
  <c r="G129" i="1"/>
  <c r="L129" i="1"/>
  <c r="I82" i="1"/>
  <c r="H82" i="1"/>
  <c r="J82" i="1"/>
  <c r="K82" i="1"/>
  <c r="L82" i="1"/>
  <c r="D82" i="1"/>
  <c r="M82" i="1"/>
  <c r="E82" i="1"/>
  <c r="N82" i="1"/>
  <c r="F82" i="1"/>
  <c r="O82" i="1"/>
  <c r="G82" i="1"/>
  <c r="J146" i="1"/>
  <c r="D146" i="1"/>
  <c r="L146" i="1"/>
  <c r="E146" i="1"/>
  <c r="M146" i="1"/>
  <c r="F146" i="1"/>
  <c r="N146" i="1"/>
  <c r="G146" i="1"/>
  <c r="O146" i="1"/>
  <c r="I146" i="1"/>
  <c r="K146" i="1"/>
  <c r="H146" i="1"/>
  <c r="E67" i="1"/>
  <c r="M67" i="1"/>
  <c r="F67" i="1"/>
  <c r="O67" i="1"/>
  <c r="G67" i="1"/>
  <c r="H67" i="1"/>
  <c r="I67" i="1"/>
  <c r="J67" i="1"/>
  <c r="K67" i="1"/>
  <c r="L67" i="1"/>
  <c r="D67" i="1"/>
  <c r="N67" i="1"/>
  <c r="F131" i="1"/>
  <c r="N131" i="1"/>
  <c r="H131" i="1"/>
  <c r="I131" i="1"/>
  <c r="J131" i="1"/>
  <c r="K131" i="1"/>
  <c r="E131" i="1"/>
  <c r="M131" i="1"/>
  <c r="G131" i="1"/>
  <c r="L131" i="1"/>
  <c r="O131" i="1"/>
  <c r="D131" i="1"/>
  <c r="J110" i="1"/>
  <c r="K110" i="1"/>
  <c r="D110" i="1"/>
  <c r="L110" i="1"/>
  <c r="E110" i="1"/>
  <c r="M110" i="1"/>
  <c r="F110" i="1"/>
  <c r="N110" i="1"/>
  <c r="H110" i="1"/>
  <c r="G110" i="1"/>
  <c r="O110" i="1"/>
  <c r="I110" i="1"/>
  <c r="E63" i="1"/>
  <c r="M63" i="1"/>
  <c r="H63" i="1"/>
  <c r="I63" i="1"/>
  <c r="J63" i="1"/>
  <c r="K63" i="1"/>
  <c r="L63" i="1"/>
  <c r="D63" i="1"/>
  <c r="N63" i="1"/>
  <c r="F63" i="1"/>
  <c r="O63" i="1"/>
  <c r="G63" i="1"/>
  <c r="F127" i="1"/>
  <c r="N127" i="1"/>
  <c r="H127" i="1"/>
  <c r="I127" i="1"/>
  <c r="J127" i="1"/>
  <c r="K127" i="1"/>
  <c r="E127" i="1"/>
  <c r="M127" i="1"/>
  <c r="O127" i="1"/>
  <c r="G127" i="1"/>
  <c r="D127" i="1"/>
  <c r="L127" i="1"/>
  <c r="F121" i="1"/>
  <c r="N121" i="1"/>
  <c r="G121" i="1"/>
  <c r="H121" i="1"/>
  <c r="I121" i="1"/>
  <c r="J121" i="1"/>
  <c r="D121" i="1"/>
  <c r="K121" i="1"/>
  <c r="L121" i="1"/>
  <c r="E121" i="1"/>
  <c r="M121" i="1"/>
  <c r="O121" i="1"/>
  <c r="F96" i="1"/>
  <c r="N96" i="1"/>
  <c r="G96" i="1"/>
  <c r="O96" i="1"/>
  <c r="H96" i="1"/>
  <c r="I96" i="1"/>
  <c r="J96" i="1"/>
  <c r="K96" i="1"/>
  <c r="D96" i="1"/>
  <c r="L96" i="1"/>
  <c r="M96" i="1"/>
  <c r="E96" i="1"/>
  <c r="I84" i="1"/>
  <c r="L84" i="1"/>
  <c r="D84" i="1"/>
  <c r="M84" i="1"/>
  <c r="E84" i="1"/>
  <c r="N84" i="1"/>
  <c r="F84" i="1"/>
  <c r="O84" i="1"/>
  <c r="G84" i="1"/>
  <c r="H84" i="1"/>
  <c r="J84" i="1"/>
  <c r="K84" i="1"/>
  <c r="I90" i="1"/>
  <c r="D90" i="1"/>
  <c r="M90" i="1"/>
  <c r="E90" i="1"/>
  <c r="N90" i="1"/>
  <c r="F90" i="1"/>
  <c r="O90" i="1"/>
  <c r="G90" i="1"/>
  <c r="H90" i="1"/>
  <c r="J90" i="1"/>
  <c r="K90" i="1"/>
  <c r="L90" i="1"/>
  <c r="E75" i="1"/>
  <c r="M75" i="1"/>
  <c r="J75" i="1"/>
  <c r="K75" i="1"/>
  <c r="L75" i="1"/>
  <c r="D75" i="1"/>
  <c r="N75" i="1"/>
  <c r="F75" i="1"/>
  <c r="O75" i="1"/>
  <c r="G75" i="1"/>
  <c r="H75" i="1"/>
  <c r="I75" i="1"/>
  <c r="F139" i="1"/>
  <c r="N139" i="1"/>
  <c r="H139" i="1"/>
  <c r="I139" i="1"/>
  <c r="J139" i="1"/>
  <c r="K139" i="1"/>
  <c r="E139" i="1"/>
  <c r="M139" i="1"/>
  <c r="D139" i="1"/>
  <c r="G139" i="1"/>
  <c r="L139" i="1"/>
  <c r="O139" i="1"/>
  <c r="F100" i="1"/>
  <c r="N100" i="1"/>
  <c r="G100" i="1"/>
  <c r="O100" i="1"/>
  <c r="H100" i="1"/>
  <c r="I100" i="1"/>
  <c r="J100" i="1"/>
  <c r="K100" i="1"/>
  <c r="D100" i="1"/>
  <c r="L100" i="1"/>
  <c r="E100" i="1"/>
  <c r="M100" i="1"/>
  <c r="F117" i="1"/>
  <c r="N117" i="1"/>
  <c r="G117" i="1"/>
  <c r="O117" i="1"/>
  <c r="H117" i="1"/>
  <c r="I117" i="1"/>
  <c r="J117" i="1"/>
  <c r="K117" i="1"/>
  <c r="D117" i="1"/>
  <c r="L117" i="1"/>
  <c r="E117" i="1"/>
  <c r="M117" i="1"/>
  <c r="J126" i="1"/>
  <c r="D126" i="1"/>
  <c r="L126" i="1"/>
  <c r="E126" i="1"/>
  <c r="M126" i="1"/>
  <c r="F126" i="1"/>
  <c r="N126" i="1"/>
  <c r="G126" i="1"/>
  <c r="O126" i="1"/>
  <c r="I126" i="1"/>
  <c r="H126" i="1"/>
  <c r="K126" i="1"/>
  <c r="E71" i="1"/>
  <c r="M71" i="1"/>
  <c r="L71" i="1"/>
  <c r="D71" i="1"/>
  <c r="N71" i="1"/>
  <c r="F71" i="1"/>
  <c r="O71" i="1"/>
  <c r="G71" i="1"/>
  <c r="H71" i="1"/>
  <c r="I71" i="1"/>
  <c r="J71" i="1"/>
  <c r="K71" i="1"/>
  <c r="F135" i="1"/>
  <c r="N135" i="1"/>
  <c r="H135" i="1"/>
  <c r="I135" i="1"/>
  <c r="J135" i="1"/>
  <c r="K135" i="1"/>
  <c r="E135" i="1"/>
  <c r="M135" i="1"/>
  <c r="O135" i="1"/>
  <c r="D135" i="1"/>
  <c r="G135" i="1"/>
  <c r="L135" i="1"/>
  <c r="F145" i="1"/>
  <c r="N145" i="1"/>
  <c r="H145" i="1"/>
  <c r="I145" i="1"/>
  <c r="J145" i="1"/>
  <c r="K145" i="1"/>
  <c r="E145" i="1"/>
  <c r="M145" i="1"/>
  <c r="O145" i="1"/>
  <c r="D145" i="1"/>
  <c r="G145" i="1"/>
  <c r="L145" i="1"/>
  <c r="J104" i="1"/>
  <c r="K104" i="1"/>
  <c r="D104" i="1"/>
  <c r="L104" i="1"/>
  <c r="E104" i="1"/>
  <c r="M104" i="1"/>
  <c r="F104" i="1"/>
  <c r="N104" i="1"/>
  <c r="G104" i="1"/>
  <c r="O104" i="1"/>
  <c r="H104" i="1"/>
  <c r="I104" i="1"/>
  <c r="J116" i="1"/>
  <c r="K116" i="1"/>
  <c r="D116" i="1"/>
  <c r="L116" i="1"/>
  <c r="E116" i="1"/>
  <c r="M116" i="1"/>
  <c r="F116" i="1"/>
  <c r="N116" i="1"/>
  <c r="H116" i="1"/>
  <c r="G116" i="1"/>
  <c r="O116" i="1"/>
  <c r="I116" i="1"/>
  <c r="F98" i="1"/>
  <c r="N98" i="1"/>
  <c r="G98" i="1"/>
  <c r="O98" i="1"/>
  <c r="H98" i="1"/>
  <c r="I98" i="1"/>
  <c r="J98" i="1"/>
  <c r="K98" i="1"/>
  <c r="D98" i="1"/>
  <c r="L98" i="1"/>
  <c r="E98" i="1"/>
  <c r="M98" i="1"/>
  <c r="E83" i="1"/>
  <c r="M83" i="1"/>
  <c r="F83" i="1"/>
  <c r="O83" i="1"/>
  <c r="G83" i="1"/>
  <c r="H83" i="1"/>
  <c r="I83" i="1"/>
  <c r="J83" i="1"/>
  <c r="K83" i="1"/>
  <c r="L83" i="1"/>
  <c r="D83" i="1"/>
  <c r="N83" i="1"/>
  <c r="F147" i="1"/>
  <c r="N147" i="1"/>
  <c r="H147" i="1"/>
  <c r="I147" i="1"/>
  <c r="J147" i="1"/>
  <c r="K147" i="1"/>
  <c r="E147" i="1"/>
  <c r="M147" i="1"/>
  <c r="G147" i="1"/>
  <c r="L147" i="1"/>
  <c r="O147" i="1"/>
  <c r="D147" i="1"/>
  <c r="I62" i="1"/>
  <c r="K62" i="1"/>
  <c r="L62" i="1"/>
  <c r="D62" i="1"/>
  <c r="M62" i="1"/>
  <c r="E62" i="1"/>
  <c r="N62" i="1"/>
  <c r="F62" i="1"/>
  <c r="O62" i="1"/>
  <c r="G62" i="1"/>
  <c r="H62" i="1"/>
  <c r="J62" i="1"/>
  <c r="J134" i="1"/>
  <c r="D134" i="1"/>
  <c r="L134" i="1"/>
  <c r="E134" i="1"/>
  <c r="M134" i="1"/>
  <c r="F134" i="1"/>
  <c r="N134" i="1"/>
  <c r="G134" i="1"/>
  <c r="O134" i="1"/>
  <c r="I134" i="1"/>
  <c r="H134" i="1"/>
  <c r="K134" i="1"/>
  <c r="E79" i="1"/>
  <c r="M79" i="1"/>
  <c r="H79" i="1"/>
  <c r="I79" i="1"/>
  <c r="J79" i="1"/>
  <c r="K79" i="1"/>
  <c r="L79" i="1"/>
  <c r="D79" i="1"/>
  <c r="N79" i="1"/>
  <c r="F79" i="1"/>
  <c r="O79" i="1"/>
  <c r="G79" i="1"/>
  <c r="F143" i="1"/>
  <c r="N143" i="1"/>
  <c r="H143" i="1"/>
  <c r="I143" i="1"/>
  <c r="J143" i="1"/>
  <c r="K143" i="1"/>
  <c r="E143" i="1"/>
  <c r="M143" i="1"/>
  <c r="O143" i="1"/>
  <c r="G143" i="1"/>
  <c r="D143" i="1"/>
  <c r="L143" i="1"/>
  <c r="I76" i="1"/>
  <c r="G76" i="1"/>
  <c r="H76" i="1"/>
  <c r="J76" i="1"/>
  <c r="K76" i="1"/>
  <c r="L76" i="1"/>
  <c r="D76" i="1"/>
  <c r="M76" i="1"/>
  <c r="E76" i="1"/>
  <c r="N76" i="1"/>
  <c r="F76" i="1"/>
  <c r="O76" i="1"/>
  <c r="A192" i="1"/>
  <c r="H191" i="1"/>
  <c r="D191" i="1"/>
  <c r="L191" i="1"/>
  <c r="B191" i="1"/>
  <c r="M191" i="1"/>
  <c r="C191" i="1"/>
  <c r="K191" i="1"/>
  <c r="J191" i="1"/>
  <c r="I191" i="1"/>
  <c r="G191" i="1"/>
  <c r="F191" i="1"/>
  <c r="E191" i="1"/>
  <c r="N191" i="1"/>
  <c r="J112" i="1"/>
  <c r="K112" i="1"/>
  <c r="D112" i="1"/>
  <c r="L112" i="1"/>
  <c r="E112" i="1"/>
  <c r="M112" i="1"/>
  <c r="F112" i="1"/>
  <c r="N112" i="1"/>
  <c r="G112" i="1"/>
  <c r="O112" i="1"/>
  <c r="H112" i="1"/>
  <c r="I112" i="1"/>
  <c r="J148" i="1"/>
  <c r="D148" i="1"/>
  <c r="L148" i="1"/>
  <c r="E148" i="1"/>
  <c r="M148" i="1"/>
  <c r="F148" i="1"/>
  <c r="N148" i="1"/>
  <c r="G148" i="1"/>
  <c r="O148" i="1"/>
  <c r="I148" i="1"/>
  <c r="H148" i="1"/>
  <c r="K148" i="1"/>
  <c r="J106" i="1"/>
  <c r="K106" i="1"/>
  <c r="D106" i="1"/>
  <c r="L106" i="1"/>
  <c r="E106" i="1"/>
  <c r="M106" i="1"/>
  <c r="F106" i="1"/>
  <c r="N106" i="1"/>
  <c r="G106" i="1"/>
  <c r="O106" i="1"/>
  <c r="H106" i="1"/>
  <c r="I106" i="1"/>
  <c r="E91" i="1"/>
  <c r="J91" i="1"/>
  <c r="K91" i="1"/>
  <c r="L91" i="1"/>
  <c r="D91" i="1"/>
  <c r="M91" i="1"/>
  <c r="F91" i="1"/>
  <c r="N91" i="1"/>
  <c r="G91" i="1"/>
  <c r="O91" i="1"/>
  <c r="H91" i="1"/>
  <c r="I91" i="1"/>
  <c r="J93" i="1"/>
  <c r="K93" i="1"/>
  <c r="D93" i="1"/>
  <c r="L93" i="1"/>
  <c r="E93" i="1"/>
  <c r="M93" i="1"/>
  <c r="F93" i="1"/>
  <c r="N93" i="1"/>
  <c r="G93" i="1"/>
  <c r="O93" i="1"/>
  <c r="H93" i="1"/>
  <c r="I93" i="1"/>
  <c r="E69" i="1"/>
  <c r="M69" i="1"/>
  <c r="I69" i="1"/>
  <c r="J69" i="1"/>
  <c r="K69" i="1"/>
  <c r="L69" i="1"/>
  <c r="D69" i="1"/>
  <c r="N69" i="1"/>
  <c r="F69" i="1"/>
  <c r="O69" i="1"/>
  <c r="G69" i="1"/>
  <c r="H69" i="1"/>
  <c r="F133" i="1"/>
  <c r="N133" i="1"/>
  <c r="H133" i="1"/>
  <c r="I133" i="1"/>
  <c r="J133" i="1"/>
  <c r="K133" i="1"/>
  <c r="E133" i="1"/>
  <c r="M133" i="1"/>
  <c r="G133" i="1"/>
  <c r="L133" i="1"/>
  <c r="O133" i="1"/>
  <c r="D133" i="1"/>
  <c r="I70" i="1"/>
  <c r="F70" i="1"/>
  <c r="O70" i="1"/>
  <c r="G70" i="1"/>
  <c r="H70" i="1"/>
  <c r="J70" i="1"/>
  <c r="K70" i="1"/>
  <c r="L70" i="1"/>
  <c r="D70" i="1"/>
  <c r="M70" i="1"/>
  <c r="E70" i="1"/>
  <c r="N70" i="1"/>
  <c r="J142" i="1"/>
  <c r="D142" i="1"/>
  <c r="L142" i="1"/>
  <c r="E142" i="1"/>
  <c r="M142" i="1"/>
  <c r="F142" i="1"/>
  <c r="N142" i="1"/>
  <c r="G142" i="1"/>
  <c r="O142" i="1"/>
  <c r="I142" i="1"/>
  <c r="H142" i="1"/>
  <c r="K142" i="1"/>
  <c r="E87" i="1"/>
  <c r="M87" i="1"/>
  <c r="L87" i="1"/>
  <c r="D87" i="1"/>
  <c r="N87" i="1"/>
  <c r="F87" i="1"/>
  <c r="O87" i="1"/>
  <c r="G87" i="1"/>
  <c r="H87" i="1"/>
  <c r="I87" i="1"/>
  <c r="J87" i="1"/>
  <c r="K87" i="1"/>
  <c r="F151" i="1"/>
  <c r="N151" i="1"/>
  <c r="H151" i="1"/>
  <c r="I151" i="1"/>
  <c r="J151" i="1"/>
  <c r="K151" i="1"/>
  <c r="E151" i="1"/>
  <c r="M151" i="1"/>
  <c r="O151" i="1"/>
  <c r="G151" i="1"/>
  <c r="D151" i="1"/>
  <c r="L151" i="1"/>
  <c r="J108" i="1"/>
  <c r="K108" i="1"/>
  <c r="D108" i="1"/>
  <c r="L108" i="1"/>
  <c r="E108" i="1"/>
  <c r="M108" i="1"/>
  <c r="F108" i="1"/>
  <c r="N108" i="1"/>
  <c r="G108" i="1"/>
  <c r="O108" i="1"/>
  <c r="H108" i="1"/>
  <c r="I108" i="1"/>
  <c r="H56" i="1"/>
  <c r="I56" i="1"/>
  <c r="J56" i="1"/>
  <c r="K56" i="1"/>
  <c r="L56" i="1"/>
  <c r="M56" i="1"/>
  <c r="D56" i="1"/>
  <c r="N56" i="1"/>
  <c r="E56" i="1"/>
  <c r="O56" i="1"/>
  <c r="F56" i="1"/>
  <c r="G56" i="1"/>
  <c r="J120" i="1"/>
  <c r="K120" i="1"/>
  <c r="D120" i="1"/>
  <c r="L120" i="1"/>
  <c r="E120" i="1"/>
  <c r="M120" i="1"/>
  <c r="F120" i="1"/>
  <c r="N120" i="1"/>
  <c r="G120" i="1"/>
  <c r="O120" i="1"/>
  <c r="H120" i="1"/>
  <c r="I120" i="1"/>
  <c r="F137" i="1"/>
  <c r="N137" i="1"/>
  <c r="H137" i="1"/>
  <c r="I137" i="1"/>
  <c r="J137" i="1"/>
  <c r="K137" i="1"/>
  <c r="E137" i="1"/>
  <c r="M137" i="1"/>
  <c r="O137" i="1"/>
  <c r="D137" i="1"/>
  <c r="G137" i="1"/>
  <c r="L137" i="1"/>
  <c r="J114" i="1"/>
  <c r="K114" i="1"/>
  <c r="D114" i="1"/>
  <c r="L114" i="1"/>
  <c r="E114" i="1"/>
  <c r="M114" i="1"/>
  <c r="H114" i="1"/>
  <c r="F114" i="1"/>
  <c r="N114" i="1"/>
  <c r="G114" i="1"/>
  <c r="O114" i="1"/>
  <c r="I114" i="1"/>
  <c r="J99" i="1"/>
  <c r="K99" i="1"/>
  <c r="D99" i="1"/>
  <c r="L99" i="1"/>
  <c r="E99" i="1"/>
  <c r="M99" i="1"/>
  <c r="F99" i="1"/>
  <c r="N99" i="1"/>
  <c r="G99" i="1"/>
  <c r="O99" i="1"/>
  <c r="H99" i="1"/>
  <c r="I99" i="1"/>
  <c r="E61" i="1"/>
  <c r="M61" i="1"/>
  <c r="D61" i="1"/>
  <c r="N61" i="1"/>
  <c r="F61" i="1"/>
  <c r="O61" i="1"/>
  <c r="G61" i="1"/>
  <c r="H61" i="1"/>
  <c r="I61" i="1"/>
  <c r="J61" i="1"/>
  <c r="K61" i="1"/>
  <c r="L61" i="1"/>
  <c r="E77" i="1"/>
  <c r="M77" i="1"/>
  <c r="D77" i="1"/>
  <c r="N77" i="1"/>
  <c r="F77" i="1"/>
  <c r="O77" i="1"/>
  <c r="G77" i="1"/>
  <c r="H77" i="1"/>
  <c r="I77" i="1"/>
  <c r="J77" i="1"/>
  <c r="K77" i="1"/>
  <c r="L77" i="1"/>
  <c r="F141" i="1"/>
  <c r="N141" i="1"/>
  <c r="H141" i="1"/>
  <c r="I141" i="1"/>
  <c r="J141" i="1"/>
  <c r="K141" i="1"/>
  <c r="E141" i="1"/>
  <c r="M141" i="1"/>
  <c r="G141" i="1"/>
  <c r="O141" i="1"/>
  <c r="D141" i="1"/>
  <c r="L141" i="1"/>
  <c r="I78" i="1"/>
  <c r="K78" i="1"/>
  <c r="L78" i="1"/>
  <c r="D78" i="1"/>
  <c r="M78" i="1"/>
  <c r="E78" i="1"/>
  <c r="N78" i="1"/>
  <c r="F78" i="1"/>
  <c r="O78" i="1"/>
  <c r="G78" i="1"/>
  <c r="H78" i="1"/>
  <c r="J78" i="1"/>
  <c r="J150" i="1"/>
  <c r="D150" i="1"/>
  <c r="L150" i="1"/>
  <c r="E150" i="1"/>
  <c r="M150" i="1"/>
  <c r="F150" i="1"/>
  <c r="N150" i="1"/>
  <c r="G150" i="1"/>
  <c r="O150" i="1"/>
  <c r="I150" i="1"/>
  <c r="H150" i="1"/>
  <c r="K150" i="1"/>
  <c r="J95" i="1"/>
  <c r="K95" i="1"/>
  <c r="D95" i="1"/>
  <c r="L95" i="1"/>
  <c r="E95" i="1"/>
  <c r="M95" i="1"/>
  <c r="F95" i="1"/>
  <c r="N95" i="1"/>
  <c r="G95" i="1"/>
  <c r="O95" i="1"/>
  <c r="H95" i="1"/>
  <c r="I95" i="1"/>
  <c r="E65" i="1"/>
  <c r="M65" i="1"/>
  <c r="K65" i="1"/>
  <c r="L65" i="1"/>
  <c r="D65" i="1"/>
  <c r="N65" i="1"/>
  <c r="F65" i="1"/>
  <c r="O65" i="1"/>
  <c r="G65" i="1"/>
  <c r="H65" i="1"/>
  <c r="I65" i="1"/>
  <c r="J65" i="1"/>
  <c r="J132" i="1"/>
  <c r="D132" i="1"/>
  <c r="L132" i="1"/>
  <c r="E132" i="1"/>
  <c r="M132" i="1"/>
  <c r="F132" i="1"/>
  <c r="N132" i="1"/>
  <c r="G132" i="1"/>
  <c r="O132" i="1"/>
  <c r="I132" i="1"/>
  <c r="K132" i="1"/>
  <c r="H132" i="1"/>
  <c r="I64" i="1"/>
  <c r="E64" i="1"/>
  <c r="N64" i="1"/>
  <c r="F64" i="1"/>
  <c r="O64" i="1"/>
  <c r="G64" i="1"/>
  <c r="H64" i="1"/>
  <c r="J64" i="1"/>
  <c r="K64" i="1"/>
  <c r="L64" i="1"/>
  <c r="D64" i="1"/>
  <c r="M64" i="1"/>
  <c r="J128" i="1"/>
  <c r="D128" i="1"/>
  <c r="L128" i="1"/>
  <c r="E128" i="1"/>
  <c r="M128" i="1"/>
  <c r="F128" i="1"/>
  <c r="N128" i="1"/>
  <c r="G128" i="1"/>
  <c r="O128" i="1"/>
  <c r="I128" i="1"/>
  <c r="H128" i="1"/>
  <c r="K128" i="1"/>
  <c r="E73" i="1"/>
  <c r="M73" i="1"/>
  <c r="G73" i="1"/>
  <c r="H73" i="1"/>
  <c r="I73" i="1"/>
  <c r="J73" i="1"/>
  <c r="K73" i="1"/>
  <c r="L73" i="1"/>
  <c r="D73" i="1"/>
  <c r="N73" i="1"/>
  <c r="F73" i="1"/>
  <c r="O73" i="1"/>
  <c r="I58" i="1"/>
  <c r="D58" i="1"/>
  <c r="M58" i="1"/>
  <c r="E58" i="1"/>
  <c r="N58" i="1"/>
  <c r="F58" i="1"/>
  <c r="O58" i="1"/>
  <c r="G58" i="1"/>
  <c r="H58" i="1"/>
  <c r="J58" i="1"/>
  <c r="K58" i="1"/>
  <c r="L58" i="1"/>
  <c r="J122" i="1"/>
  <c r="D122" i="1"/>
  <c r="L122" i="1"/>
  <c r="E122" i="1"/>
  <c r="M122" i="1"/>
  <c r="F122" i="1"/>
  <c r="N122" i="1"/>
  <c r="G122" i="1"/>
  <c r="O122" i="1"/>
  <c r="I122" i="1"/>
  <c r="K122" i="1"/>
  <c r="H122" i="1"/>
  <c r="F92" i="1"/>
  <c r="N92" i="1"/>
  <c r="G92" i="1"/>
  <c r="O92" i="1"/>
  <c r="H92" i="1"/>
  <c r="I92" i="1"/>
  <c r="J92" i="1"/>
  <c r="K92" i="1"/>
  <c r="D92" i="1"/>
  <c r="L92" i="1"/>
  <c r="E92" i="1"/>
  <c r="M92" i="1"/>
  <c r="F107" i="1"/>
  <c r="N107" i="1"/>
  <c r="O107" i="1"/>
  <c r="G107" i="1"/>
  <c r="H107" i="1"/>
  <c r="I107" i="1"/>
  <c r="J107" i="1"/>
  <c r="K107" i="1"/>
  <c r="D107" i="1"/>
  <c r="L107" i="1"/>
  <c r="E107" i="1"/>
  <c r="M107" i="1"/>
  <c r="J101" i="1"/>
  <c r="K101" i="1"/>
  <c r="D101" i="1"/>
  <c r="L101" i="1"/>
  <c r="E101" i="1"/>
  <c r="M101" i="1"/>
  <c r="F101" i="1"/>
  <c r="N101" i="1"/>
  <c r="G101" i="1"/>
  <c r="O101" i="1"/>
  <c r="H101" i="1"/>
  <c r="I101" i="1"/>
  <c r="F109" i="1"/>
  <c r="N109" i="1"/>
  <c r="G109" i="1"/>
  <c r="O109" i="1"/>
  <c r="H109" i="1"/>
  <c r="I109" i="1"/>
  <c r="J109" i="1"/>
  <c r="K109" i="1"/>
  <c r="D109" i="1"/>
  <c r="L109" i="1"/>
  <c r="E109" i="1"/>
  <c r="M109" i="1"/>
  <c r="F125" i="1"/>
  <c r="N125" i="1"/>
  <c r="H125" i="1"/>
  <c r="I125" i="1"/>
  <c r="J125" i="1"/>
  <c r="K125" i="1"/>
  <c r="E125" i="1"/>
  <c r="M125" i="1"/>
  <c r="G125" i="1"/>
  <c r="L125" i="1"/>
  <c r="O125" i="1"/>
  <c r="D125" i="1"/>
  <c r="E85" i="1"/>
  <c r="M85" i="1"/>
  <c r="I85" i="1"/>
  <c r="J85" i="1"/>
  <c r="K85" i="1"/>
  <c r="L85" i="1"/>
  <c r="D85" i="1"/>
  <c r="N85" i="1"/>
  <c r="F85" i="1"/>
  <c r="O85" i="1"/>
  <c r="G85" i="1"/>
  <c r="H85" i="1"/>
  <c r="F149" i="1"/>
  <c r="N149" i="1"/>
  <c r="H149" i="1"/>
  <c r="I149" i="1"/>
  <c r="J149" i="1"/>
  <c r="K149" i="1"/>
  <c r="E149" i="1"/>
  <c r="M149" i="1"/>
  <c r="G149" i="1"/>
  <c r="O149" i="1"/>
  <c r="L149" i="1"/>
  <c r="D149" i="1"/>
  <c r="I86" i="1"/>
  <c r="F86" i="1"/>
  <c r="O86" i="1"/>
  <c r="G86" i="1"/>
  <c r="H86" i="1"/>
  <c r="J86" i="1"/>
  <c r="K86" i="1"/>
  <c r="L86" i="1"/>
  <c r="D86" i="1"/>
  <c r="M86" i="1"/>
  <c r="E86" i="1"/>
  <c r="N86" i="1"/>
  <c r="J140" i="1"/>
  <c r="D140" i="1"/>
  <c r="L140" i="1"/>
  <c r="E140" i="1"/>
  <c r="M140" i="1"/>
  <c r="F140" i="1"/>
  <c r="N140" i="1"/>
  <c r="G140" i="1"/>
  <c r="O140" i="1"/>
  <c r="I140" i="1"/>
  <c r="K140" i="1"/>
  <c r="H140" i="1"/>
  <c r="K103" i="1"/>
  <c r="D103" i="1"/>
  <c r="E103" i="1"/>
  <c r="G103" i="1"/>
  <c r="O103" i="1"/>
  <c r="M103" i="1"/>
  <c r="N103" i="1"/>
  <c r="F103" i="1"/>
  <c r="H103" i="1"/>
  <c r="I103" i="1"/>
  <c r="J103" i="1"/>
  <c r="L103" i="1"/>
  <c r="E81" i="1"/>
  <c r="M81" i="1"/>
  <c r="K81" i="1"/>
  <c r="L81" i="1"/>
  <c r="D81" i="1"/>
  <c r="N81" i="1"/>
  <c r="F81" i="1"/>
  <c r="O81" i="1"/>
  <c r="G81" i="1"/>
  <c r="H81" i="1"/>
  <c r="I81" i="1"/>
  <c r="J81" i="1"/>
  <c r="I72" i="1"/>
  <c r="J72" i="1"/>
  <c r="K72" i="1"/>
  <c r="L72" i="1"/>
  <c r="D72" i="1"/>
  <c r="M72" i="1"/>
  <c r="E72" i="1"/>
  <c r="N72" i="1"/>
  <c r="F72" i="1"/>
  <c r="O72" i="1"/>
  <c r="G72" i="1"/>
  <c r="H72" i="1"/>
  <c r="J136" i="1"/>
  <c r="D136" i="1"/>
  <c r="L136" i="1"/>
  <c r="E136" i="1"/>
  <c r="M136" i="1"/>
  <c r="F136" i="1"/>
  <c r="N136" i="1"/>
  <c r="G136" i="1"/>
  <c r="O136" i="1"/>
  <c r="I136" i="1"/>
  <c r="K136" i="1"/>
  <c r="H136" i="1"/>
  <c r="E89" i="1"/>
  <c r="M89" i="1"/>
  <c r="G89" i="1"/>
  <c r="H89" i="1"/>
  <c r="I89" i="1"/>
  <c r="J89" i="1"/>
  <c r="K89" i="1"/>
  <c r="L89" i="1"/>
  <c r="D89" i="1"/>
  <c r="N89" i="1"/>
  <c r="F89" i="1"/>
  <c r="O89" i="1"/>
  <c r="I66" i="1"/>
  <c r="H66" i="1"/>
  <c r="J66" i="1"/>
  <c r="K66" i="1"/>
  <c r="L66" i="1"/>
  <c r="D66" i="1"/>
  <c r="M66" i="1"/>
  <c r="E66" i="1"/>
  <c r="N66" i="1"/>
  <c r="F66" i="1"/>
  <c r="O66" i="1"/>
  <c r="G66" i="1"/>
  <c r="J130" i="1"/>
  <c r="D130" i="1"/>
  <c r="L130" i="1"/>
  <c r="E130" i="1"/>
  <c r="M130" i="1"/>
  <c r="F130" i="1"/>
  <c r="N130" i="1"/>
  <c r="G130" i="1"/>
  <c r="O130" i="1"/>
  <c r="I130" i="1"/>
  <c r="K130" i="1"/>
  <c r="H130" i="1"/>
  <c r="J124" i="1"/>
  <c r="D124" i="1"/>
  <c r="L124" i="1"/>
  <c r="E124" i="1"/>
  <c r="M124" i="1"/>
  <c r="F124" i="1"/>
  <c r="N124" i="1"/>
  <c r="G124" i="1"/>
  <c r="O124" i="1"/>
  <c r="I124" i="1"/>
  <c r="H124" i="1"/>
  <c r="K124" i="1"/>
  <c r="F115" i="1"/>
  <c r="N115" i="1"/>
  <c r="G115" i="1"/>
  <c r="O115" i="1"/>
  <c r="H115" i="1"/>
  <c r="I115" i="1"/>
  <c r="J115" i="1"/>
  <c r="K115" i="1"/>
  <c r="D115" i="1"/>
  <c r="L115" i="1"/>
  <c r="E115" i="1"/>
  <c r="M115" i="1"/>
  <c r="H192" i="1" l="1"/>
  <c r="D192" i="1"/>
  <c r="M192" i="1"/>
  <c r="I192" i="1"/>
  <c r="E192" i="1"/>
  <c r="N192" i="1"/>
  <c r="B192" i="1"/>
  <c r="C192" i="1"/>
  <c r="L192" i="1"/>
  <c r="K192" i="1"/>
  <c r="J192" i="1"/>
  <c r="G192" i="1"/>
  <c r="F192" i="1"/>
  <c r="B199" i="1" a="1"/>
  <c r="B199" i="1" l="1"/>
  <c r="A217" i="1" s="1" a="1"/>
  <c r="B206" i="1"/>
  <c r="B201" i="1"/>
  <c r="B204" i="1"/>
  <c r="B203" i="1"/>
  <c r="C208" i="1"/>
  <c r="B202" i="1"/>
  <c r="C212" i="1"/>
  <c r="B200" i="1"/>
  <c r="C209" i="1"/>
  <c r="C211" i="1"/>
  <c r="C205" i="1"/>
  <c r="C204" i="1"/>
  <c r="C207" i="1"/>
  <c r="B212" i="1"/>
  <c r="C201" i="1"/>
  <c r="C200" i="1"/>
  <c r="C203" i="1"/>
  <c r="C202" i="1"/>
  <c r="B211" i="1"/>
  <c r="C206" i="1"/>
  <c r="C210" i="1"/>
  <c r="C199" i="1"/>
  <c r="B209" i="1"/>
  <c r="B210" i="1"/>
  <c r="B205" i="1"/>
  <c r="B208" i="1"/>
  <c r="B207" i="1"/>
  <c r="A217" i="1" l="1"/>
  <c r="B256" i="1"/>
  <c r="A292" i="1"/>
  <c r="A260" i="1"/>
  <c r="A228" i="1"/>
  <c r="B252" i="1"/>
  <c r="B291" i="1"/>
  <c r="B259" i="1"/>
  <c r="B227" i="1"/>
  <c r="A299" i="1"/>
  <c r="A267" i="1"/>
  <c r="A235" i="1"/>
  <c r="B306" i="1"/>
  <c r="B274" i="1"/>
  <c r="B242" i="1"/>
  <c r="A314" i="1"/>
  <c r="A282" i="1"/>
  <c r="A250" i="1"/>
  <c r="A218" i="1"/>
  <c r="B228" i="1"/>
  <c r="B289" i="1"/>
  <c r="B257" i="1"/>
  <c r="B225" i="1"/>
  <c r="A305" i="1"/>
  <c r="A273" i="1"/>
  <c r="A241" i="1"/>
  <c r="A252" i="1"/>
  <c r="A259" i="1"/>
  <c r="B298" i="1"/>
  <c r="A306" i="1"/>
  <c r="B300" i="1"/>
  <c r="B217" i="1"/>
  <c r="A265" i="1"/>
  <c r="B220" i="1"/>
  <c r="A288" i="1"/>
  <c r="A256" i="1"/>
  <c r="A224" i="1"/>
  <c r="B224" i="1"/>
  <c r="B287" i="1"/>
  <c r="B255" i="1"/>
  <c r="B223" i="1"/>
  <c r="A295" i="1"/>
  <c r="A263" i="1"/>
  <c r="A231" i="1"/>
  <c r="B302" i="1"/>
  <c r="B270" i="1"/>
  <c r="B238" i="1"/>
  <c r="A310" i="1"/>
  <c r="A278" i="1"/>
  <c r="A246" i="1"/>
  <c r="B308" i="1"/>
  <c r="B317" i="1"/>
  <c r="B285" i="1"/>
  <c r="B253" i="1"/>
  <c r="B221" i="1"/>
  <c r="A301" i="1"/>
  <c r="A269" i="1"/>
  <c r="A237" i="1"/>
  <c r="A284" i="1"/>
  <c r="A220" i="1"/>
  <c r="B315" i="1"/>
  <c r="B283" i="1"/>
  <c r="B251" i="1"/>
  <c r="A291" i="1"/>
  <c r="A227" i="1"/>
  <c r="B234" i="1"/>
  <c r="A242" i="1"/>
  <c r="B281" i="1"/>
  <c r="A297" i="1"/>
  <c r="A316" i="1"/>
  <c r="A312" i="1"/>
  <c r="A280" i="1"/>
  <c r="A248" i="1"/>
  <c r="B316" i="1"/>
  <c r="B311" i="1"/>
  <c r="B279" i="1"/>
  <c r="B247" i="1"/>
  <c r="B240" i="1"/>
  <c r="A287" i="1"/>
  <c r="A255" i="1"/>
  <c r="A223" i="1"/>
  <c r="B294" i="1"/>
  <c r="B262" i="1"/>
  <c r="B230" i="1"/>
  <c r="A302" i="1"/>
  <c r="A270" i="1"/>
  <c r="A238" i="1"/>
  <c r="B292" i="1"/>
  <c r="B309" i="1"/>
  <c r="B277" i="1"/>
  <c r="B245" i="1"/>
  <c r="B312" i="1"/>
  <c r="A293" i="1"/>
  <c r="A261" i="1"/>
  <c r="A229" i="1"/>
  <c r="A236" i="1"/>
  <c r="B235" i="1"/>
  <c r="B314" i="1"/>
  <c r="B218" i="1"/>
  <c r="B260" i="1"/>
  <c r="A281" i="1"/>
  <c r="A308" i="1"/>
  <c r="A276" i="1"/>
  <c r="A244" i="1"/>
  <c r="B296" i="1"/>
  <c r="B307" i="1"/>
  <c r="B275" i="1"/>
  <c r="B243" i="1"/>
  <c r="A315" i="1"/>
  <c r="A283" i="1"/>
  <c r="A251" i="1"/>
  <c r="A219" i="1"/>
  <c r="B290" i="1"/>
  <c r="B258" i="1"/>
  <c r="B226" i="1"/>
  <c r="A298" i="1"/>
  <c r="A266" i="1"/>
  <c r="A234" i="1"/>
  <c r="B280" i="1"/>
  <c r="B305" i="1"/>
  <c r="B273" i="1"/>
  <c r="B241" i="1"/>
  <c r="B244" i="1"/>
  <c r="A289" i="1"/>
  <c r="A257" i="1"/>
  <c r="A225" i="1"/>
  <c r="A268" i="1"/>
  <c r="B267" i="1"/>
  <c r="A275" i="1"/>
  <c r="B250" i="1"/>
  <c r="A258" i="1"/>
  <c r="A226" i="1"/>
  <c r="B265" i="1"/>
  <c r="B233" i="1"/>
  <c r="B304" i="1"/>
  <c r="A304" i="1"/>
  <c r="A272" i="1"/>
  <c r="A240" i="1"/>
  <c r="B288" i="1"/>
  <c r="B303" i="1"/>
  <c r="B271" i="1"/>
  <c r="B239" i="1"/>
  <c r="A311" i="1"/>
  <c r="A279" i="1"/>
  <c r="A247" i="1"/>
  <c r="B236" i="1"/>
  <c r="B286" i="1"/>
  <c r="B254" i="1"/>
  <c r="B222" i="1"/>
  <c r="A294" i="1"/>
  <c r="A262" i="1"/>
  <c r="A230" i="1"/>
  <c r="B268" i="1"/>
  <c r="B301" i="1"/>
  <c r="B269" i="1"/>
  <c r="B237" i="1"/>
  <c r="A317" i="1"/>
  <c r="A285" i="1"/>
  <c r="A253" i="1"/>
  <c r="A221" i="1"/>
  <c r="A300" i="1"/>
  <c r="B276" i="1"/>
  <c r="B299" i="1"/>
  <c r="A307" i="1"/>
  <c r="A243" i="1"/>
  <c r="B282" i="1"/>
  <c r="A290" i="1"/>
  <c r="B297" i="1"/>
  <c r="A313" i="1"/>
  <c r="A249" i="1"/>
  <c r="B284" i="1"/>
  <c r="B272" i="1"/>
  <c r="A296" i="1"/>
  <c r="A264" i="1"/>
  <c r="A232" i="1"/>
  <c r="B264" i="1"/>
  <c r="B295" i="1"/>
  <c r="B263" i="1"/>
  <c r="B231" i="1"/>
  <c r="A303" i="1"/>
  <c r="A271" i="1"/>
  <c r="A239" i="1"/>
  <c r="B310" i="1"/>
  <c r="B278" i="1"/>
  <c r="B246" i="1"/>
  <c r="B232" i="1"/>
  <c r="A286" i="1"/>
  <c r="A254" i="1"/>
  <c r="A222" i="1"/>
  <c r="B248" i="1"/>
  <c r="B293" i="1"/>
  <c r="B261" i="1"/>
  <c r="B229" i="1"/>
  <c r="A309" i="1"/>
  <c r="A277" i="1"/>
  <c r="A245" i="1"/>
  <c r="B219" i="1"/>
  <c r="B266" i="1"/>
  <c r="A274" i="1"/>
  <c r="B313" i="1"/>
  <c r="B249" i="1"/>
  <c r="A233" i="1"/>
</calcChain>
</file>

<file path=xl/sharedStrings.xml><?xml version="1.0" encoding="utf-8"?>
<sst xmlns="http://schemas.openxmlformats.org/spreadsheetml/2006/main" count="128" uniqueCount="85">
  <si>
    <t>x</t>
  </si>
  <si>
    <t>y</t>
  </si>
  <si>
    <r>
      <t>p</t>
    </r>
    <r>
      <rPr>
        <b/>
        <vertAlign val="subscript"/>
        <sz val="9"/>
        <rFont val="Arial"/>
        <family val="2"/>
      </rPr>
      <t>0</t>
    </r>
  </si>
  <si>
    <r>
      <t>p</t>
    </r>
    <r>
      <rPr>
        <b/>
        <vertAlign val="subscript"/>
        <sz val="9"/>
        <rFont val="Arial"/>
        <family val="2"/>
      </rPr>
      <t>1</t>
    </r>
  </si>
  <si>
    <r>
      <t>p</t>
    </r>
    <r>
      <rPr>
        <b/>
        <vertAlign val="subscript"/>
        <sz val="9"/>
        <rFont val="Arial"/>
        <family val="2"/>
      </rPr>
      <t>2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</si>
  <si>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3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</si>
  <si>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4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</si>
  <si>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5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</si>
  <si>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6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</si>
  <si>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7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</si>
  <si>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8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</si>
  <si>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9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</si>
  <si>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10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</si>
  <si>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11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</si>
  <si>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12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</si>
  <si>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13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</si>
  <si>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14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</si>
  <si>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15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</si>
  <si>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16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</si>
  <si>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17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</si>
  <si>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18</t>
    </r>
    <r>
      <rPr>
        <sz val="10"/>
        <rFont val="Arial"/>
        <family val="2"/>
      </rPr>
      <t/>
    </r>
  </si>
  <si>
    <t>Fill your name and set number here(Cell A1) And Activate Content</t>
  </si>
  <si>
    <t>asgn6student.201010.xlsm</t>
  </si>
  <si>
    <t>COMP 4560:  Laboratory Assignment #6 (201110)</t>
  </si>
  <si>
    <r>
      <t>p</t>
    </r>
    <r>
      <rPr>
        <b/>
        <vertAlign val="subscript"/>
        <sz val="9"/>
        <rFont val="Arial"/>
        <family val="2"/>
      </rPr>
      <t>19</t>
    </r>
    <r>
      <rPr>
        <sz val="10"/>
        <rFont val="Arial"/>
        <family val="2"/>
      </rPr>
      <t/>
    </r>
  </si>
  <si>
    <t>asgn6student.201110.xlsm</t>
  </si>
  <si>
    <t>asgn7student.201110.xlsm</t>
  </si>
  <si>
    <t>asgn7student.201630.xlsm</t>
  </si>
  <si>
    <t>The Bezier Curve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</si>
  <si>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</si>
  <si>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</si>
  <si>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</si>
  <si>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</si>
  <si>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</si>
  <si>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</si>
  <si>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</si>
  <si>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</si>
  <si>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</si>
  <si>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</si>
  <si>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</si>
  <si>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</si>
  <si>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</si>
  <si>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</si>
  <si>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B Matrix</t>
  </si>
  <si>
    <t>B dot p</t>
  </si>
  <si>
    <t>TBP</t>
  </si>
  <si>
    <t>The Cubic B-Spline Curve</t>
  </si>
  <si>
    <t>Calculations for the cublic B-spline</t>
  </si>
  <si>
    <t>14 points --&gt; 11 segments</t>
  </si>
  <si>
    <t>Segment 0</t>
  </si>
  <si>
    <t>t</t>
  </si>
  <si>
    <t>Segment 1</t>
  </si>
  <si>
    <t>Segment 2</t>
  </si>
  <si>
    <t>Segment 3</t>
  </si>
  <si>
    <t>Segment 4</t>
  </si>
  <si>
    <t>Segment 5</t>
  </si>
  <si>
    <t>Segment 6</t>
  </si>
  <si>
    <t>Segment 7</t>
  </si>
  <si>
    <t>Segment 8</t>
  </si>
  <si>
    <t>Segment 9</t>
  </si>
  <si>
    <t>Segment 10</t>
  </si>
  <si>
    <t>p0</t>
  </si>
  <si>
    <t>p1</t>
  </si>
  <si>
    <r>
      <t>p2</t>
    </r>
    <r>
      <rPr>
        <sz val="10"/>
        <rFont val="Arial"/>
        <family val="2"/>
      </rPr>
      <t/>
    </r>
  </si>
  <si>
    <r>
      <t>p3</t>
    </r>
    <r>
      <rPr>
        <sz val="10"/>
        <rFont val="Arial"/>
        <family val="2"/>
      </rPr>
      <t/>
    </r>
  </si>
  <si>
    <r>
      <t>p4</t>
    </r>
    <r>
      <rPr>
        <sz val="10"/>
        <rFont val="Arial"/>
        <family val="2"/>
      </rPr>
      <t/>
    </r>
  </si>
  <si>
    <r>
      <t>p5</t>
    </r>
    <r>
      <rPr>
        <sz val="10"/>
        <rFont val="Arial"/>
        <family val="2"/>
      </rPr>
      <t/>
    </r>
  </si>
  <si>
    <r>
      <t>p6</t>
    </r>
    <r>
      <rPr>
        <sz val="10"/>
        <rFont val="Arial"/>
        <family val="2"/>
      </rPr>
      <t/>
    </r>
  </si>
  <si>
    <r>
      <t>p7</t>
    </r>
    <r>
      <rPr>
        <sz val="10"/>
        <rFont val="Arial"/>
        <family val="2"/>
      </rPr>
      <t/>
    </r>
  </si>
  <si>
    <r>
      <t>p8</t>
    </r>
    <r>
      <rPr>
        <sz val="10"/>
        <rFont val="Arial"/>
        <family val="2"/>
      </rPr>
      <t/>
    </r>
  </si>
  <si>
    <r>
      <t>p9</t>
    </r>
    <r>
      <rPr>
        <sz val="10"/>
        <rFont val="Arial"/>
        <family val="2"/>
      </rPr>
      <t/>
    </r>
  </si>
  <si>
    <r>
      <t>p10</t>
    </r>
    <r>
      <rPr>
        <sz val="10"/>
        <rFont val="Arial"/>
        <family val="2"/>
      </rPr>
      <t/>
    </r>
  </si>
  <si>
    <r>
      <t>p11</t>
    </r>
    <r>
      <rPr>
        <sz val="10"/>
        <rFont val="Arial"/>
        <family val="2"/>
      </rPr>
      <t/>
    </r>
  </si>
  <si>
    <r>
      <t>p12</t>
    </r>
    <r>
      <rPr>
        <sz val="10"/>
        <rFont val="Arial"/>
        <family val="2"/>
      </rPr>
      <t/>
    </r>
  </si>
  <si>
    <r>
      <t>p13</t>
    </r>
    <r>
      <rPr>
        <sz val="10"/>
        <rFont val="Arial"/>
        <family val="2"/>
      </rPr>
      <t/>
    </r>
  </si>
  <si>
    <t>N0</t>
  </si>
  <si>
    <t>N1</t>
  </si>
  <si>
    <t>NG</t>
  </si>
  <si>
    <t>NL-4</t>
  </si>
  <si>
    <t>NL-3</t>
  </si>
  <si>
    <t>Bezier vs cubic B-spline</t>
  </si>
  <si>
    <t>Curve is much closer to the control points in B-spline</t>
  </si>
  <si>
    <t>The size of the tables are much smaller in B-spline. B matrix for Bezier does not scale well.</t>
  </si>
  <si>
    <t>B-spline appears to scale more efficiently, given more control points.</t>
  </si>
  <si>
    <t>B-spline has local control.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</si>
</sst>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vertAlign val="subscript"/>
      <sz val="9"/>
      <name val="Arial"/>
      <family val="2"/>
    </font>
    <font>
      <sz val="10"/>
      <color indexed="9"/>
      <name val="Arial"/>
      <family val="2"/>
    </font>
    <font>
      <b/>
      <sz val="22"/>
      <color indexed="10"/>
      <name val="Arial"/>
      <family val="2"/>
    </font>
    <font>
      <sz val="11"/>
      <color rgb="FF3F3F76"/>
      <name val="Calibri"/>
      <family val="2"/>
      <scheme val="minor"/>
    </font>
    <font>
      <sz val="10"/>
      <color indexed="9"/>
      <name val="Arial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8" fillId="2" borderId="9" applyNumberFormat="0" applyAlignment="0" applyProtection="0"/>
  </cellStyleXfs>
  <cellXfs count="25">
    <xf numFmtId="0" fontId="0" fillId="0" borderId="0" xfId="0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22" fontId="6" fillId="0" borderId="0" xfId="0" applyNumberFormat="1" applyFont="1"/>
    <xf numFmtId="0" fontId="6" fillId="0" borderId="0" xfId="0" applyFont="1"/>
    <xf numFmtId="0" fontId="0" fillId="0" borderId="3" xfId="0" applyFill="1" applyBorder="1"/>
    <xf numFmtId="0" fontId="0" fillId="0" borderId="4" xfId="0" applyFill="1" applyBorder="1"/>
    <xf numFmtId="0" fontId="0" fillId="0" borderId="0" xfId="0" applyAlignment="1">
      <alignment horizontal="right"/>
    </xf>
    <xf numFmtId="0" fontId="7" fillId="0" borderId="0" xfId="0" applyFont="1"/>
    <xf numFmtId="0" fontId="0" fillId="0" borderId="5" xfId="0" applyFill="1" applyBorder="1"/>
    <xf numFmtId="0" fontId="0" fillId="0" borderId="6" xfId="0" applyFill="1" applyBorder="1"/>
    <xf numFmtId="0" fontId="0" fillId="0" borderId="0" xfId="0" applyBorder="1"/>
    <xf numFmtId="0" fontId="0" fillId="0" borderId="0" xfId="0" applyFill="1" applyBorder="1"/>
    <xf numFmtId="0" fontId="0" fillId="0" borderId="7" xfId="0" applyBorder="1"/>
    <xf numFmtId="0" fontId="0" fillId="0" borderId="8" xfId="0" applyBorder="1"/>
    <xf numFmtId="22" fontId="9" fillId="0" borderId="0" xfId="0" applyNumberFormat="1" applyFont="1"/>
    <xf numFmtId="0" fontId="9" fillId="0" borderId="0" xfId="0" applyFont="1"/>
    <xf numFmtId="0" fontId="8" fillId="2" borderId="9" xfId="1"/>
    <xf numFmtId="0" fontId="4" fillId="0" borderId="0" xfId="0" applyFont="1" applyFill="1" applyBorder="1" applyAlignment="1">
      <alignment horizontal="right"/>
    </xf>
    <xf numFmtId="0" fontId="8" fillId="2" borderId="9" xfId="1" applyAlignment="1">
      <alignment horizontal="right"/>
    </xf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12846837056383"/>
          <c:y val="6.9892656598246103E-2"/>
          <c:w val="0.8358995289952148"/>
          <c:h val="0.8556207084185831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Main!$B$6:$B$24</c:f>
              <c:numCache>
                <c:formatCode>General</c:formatCode>
                <c:ptCount val="19"/>
                <c:pt idx="0">
                  <c:v>80</c:v>
                </c:pt>
                <c:pt idx="1">
                  <c:v>50</c:v>
                </c:pt>
                <c:pt idx="2">
                  <c:v>10</c:v>
                </c:pt>
                <c:pt idx="3">
                  <c:v>50</c:v>
                </c:pt>
                <c:pt idx="4">
                  <c:v>80</c:v>
                </c:pt>
                <c:pt idx="5">
                  <c:v>100</c:v>
                </c:pt>
                <c:pt idx="6">
                  <c:v>80</c:v>
                </c:pt>
                <c:pt idx="7">
                  <c:v>50</c:v>
                </c:pt>
                <c:pt idx="8">
                  <c:v>30</c:v>
                </c:pt>
                <c:pt idx="9">
                  <c:v>90</c:v>
                </c:pt>
                <c:pt idx="10">
                  <c:v>90</c:v>
                </c:pt>
                <c:pt idx="11">
                  <c:v>50</c:v>
                </c:pt>
                <c:pt idx="12">
                  <c:v>20</c:v>
                </c:pt>
                <c:pt idx="13">
                  <c:v>20</c:v>
                </c:pt>
              </c:numCache>
            </c:numRef>
          </c:xVal>
          <c:yVal>
            <c:numRef>
              <c:f>Main!$C$6:$C$24</c:f>
              <c:numCache>
                <c:formatCode>General</c:formatCode>
                <c:ptCount val="19"/>
                <c:pt idx="0">
                  <c:v>30</c:v>
                </c:pt>
                <c:pt idx="1">
                  <c:v>40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60</c:v>
                </c:pt>
                <c:pt idx="10">
                  <c:v>100</c:v>
                </c:pt>
                <c:pt idx="11">
                  <c:v>110</c:v>
                </c:pt>
                <c:pt idx="12">
                  <c:v>85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21-414E-B6D5-F4669CA01D1C}"/>
            </c:ext>
          </c:extLst>
        </c:ser>
        <c:ser>
          <c:idx val="1"/>
          <c:order val="1"/>
          <c:tx>
            <c:v>series2</c:v>
          </c:tx>
          <c:marker>
            <c:symbol val="none"/>
          </c:marker>
          <c:xVal>
            <c:numRef>
              <c:f>Main!$A$217:$A$317</c:f>
              <c:numCache>
                <c:formatCode>General</c:formatCode>
                <c:ptCount val="101"/>
                <c:pt idx="0">
                  <c:v>80</c:v>
                </c:pt>
                <c:pt idx="1">
                  <c:v>76.046487089932299</c:v>
                </c:pt>
                <c:pt idx="2">
                  <c:v>72.074398423157191</c:v>
                </c:pt>
                <c:pt idx="3">
                  <c:v>68.196710851760116</c:v>
                </c:pt>
                <c:pt idx="4">
                  <c:v>64.502890573815819</c:v>
                </c:pt>
                <c:pt idx="5">
                  <c:v>61.062016553860985</c:v>
                </c:pt>
                <c:pt idx="6">
                  <c:v>57.925555941248895</c:v>
                </c:pt>
                <c:pt idx="7">
                  <c:v>55.129828233749492</c:v>
                </c:pt>
                <c:pt idx="8">
                  <c:v>52.698191353137965</c:v>
                </c:pt>
                <c:pt idx="9">
                  <c:v>50.642979520173554</c:v>
                </c:pt>
                <c:pt idx="10">
                  <c:v>48.967219815886999</c:v>
                </c:pt>
                <c:pt idx="11">
                  <c:v>47.666151573577096</c:v>
                </c:pt>
                <c:pt idx="12">
                  <c:v>46.728570241942336</c:v>
                </c:pt>
                <c:pt idx="13">
                  <c:v>46.138015076290721</c:v>
                </c:pt>
                <c:pt idx="14">
                  <c:v>45.873817935031958</c:v>
                </c:pt>
                <c:pt idx="15">
                  <c:v>45.912028567132154</c:v>
                </c:pt>
                <c:pt idx="16">
                  <c:v>46.226230058526305</c:v>
                </c:pt>
                <c:pt idx="17">
                  <c:v>46.788256548327944</c:v>
                </c:pt>
                <c:pt idx="18">
                  <c:v>47.5688239167592</c:v>
                </c:pt>
                <c:pt idx="19">
                  <c:v>48.538082874679851</c:v>
                </c:pt>
                <c:pt idx="20">
                  <c:v>49.66610273894397</c:v>
                </c:pt>
                <c:pt idx="21">
                  <c:v>50.9232931488771</c:v>
                </c:pt>
                <c:pt idx="22">
                  <c:v>52.280770058021993</c:v>
                </c:pt>
                <c:pt idx="23">
                  <c:v>53.710671513721955</c:v>
                </c:pt>
                <c:pt idx="24">
                  <c:v>55.186428007491692</c:v>
                </c:pt>
                <c:pt idx="25">
                  <c:v>56.682991534471512</c:v>
                </c:pt>
                <c:pt idx="26">
                  <c:v>58.177026934074846</c:v>
                </c:pt>
                <c:pt idx="27">
                  <c:v>59.647068590251799</c:v>
                </c:pt>
                <c:pt idx="28">
                  <c:v>61.073645143020428</c:v>
                </c:pt>
                <c:pt idx="29">
                  <c:v>62.439374497929947</c:v>
                </c:pt>
                <c:pt idx="30">
                  <c:v>63.729031112080868</c:v>
                </c:pt>
                <c:pt idx="31">
                  <c:v>64.929587279767546</c:v>
                </c:pt>
                <c:pt idx="32">
                  <c:v>66.03022993348273</c:v>
                </c:pt>
                <c:pt idx="33">
                  <c:v>67.022354312988384</c:v>
                </c:pt>
                <c:pt idx="34">
                  <c:v>67.89953573261873</c:v>
                </c:pt>
                <c:pt idx="35">
                  <c:v>68.657480591359274</c:v>
                </c:pt>
                <c:pt idx="36">
                  <c:v>69.293957718144725</c:v>
                </c:pt>
                <c:pt idx="37">
                  <c:v>69.808711122860686</c:v>
                </c:pt>
                <c:pt idx="38">
                  <c:v>70.203355228613503</c:v>
                </c:pt>
                <c:pt idx="39">
                  <c:v>70.481253689751185</c:v>
                </c:pt>
                <c:pt idx="40">
                  <c:v>70.647382949888083</c:v>
                </c:pt>
                <c:pt idx="41">
                  <c:v>70.708181761775023</c:v>
                </c:pt>
                <c:pt idx="42">
                  <c:v>70.67138797336024</c:v>
                </c:pt>
                <c:pt idx="43">
                  <c:v>70.545863978769376</c:v>
                </c:pt>
                <c:pt idx="44">
                  <c:v>70.341412336436207</c:v>
                </c:pt>
                <c:pt idx="45">
                  <c:v>70.068583166242334</c:v>
                </c:pt>
                <c:pt idx="46">
                  <c:v>69.73847505026491</c:v>
                </c:pt>
                <c:pt idx="47">
                  <c:v>69.362531275118428</c:v>
                </c:pt>
                <c:pt idx="48">
                  <c:v>68.952333364478278</c:v>
                </c:pt>
                <c:pt idx="49">
                  <c:v>68.51939395573325</c:v>
                </c:pt>
                <c:pt idx="50">
                  <c:v>68.074951171875</c:v>
                </c:pt>
                <c:pt idx="51">
                  <c:v>67.629766725796244</c:v>
                </c:pt>
                <c:pt idx="52">
                  <c:v>67.193930066412776</c:v>
                </c:pt>
                <c:pt idx="53">
                  <c:v>66.776670931683029</c:v>
                </c:pt>
                <c:pt idx="54">
                  <c:v>66.386182710104208</c:v>
                </c:pt>
                <c:pt idx="55">
                  <c:v>66.02945902680176</c:v>
                </c:pt>
                <c:pt idx="56">
                  <c:v>65.712145960415143</c:v>
                </c:pt>
                <c:pt idx="57">
                  <c:v>65.438412260869541</c:v>
                </c:pt>
                <c:pt idx="58">
                  <c:v>65.210839872114349</c:v>
                </c:pt>
                <c:pt idx="59">
                  <c:v>65.03033696796281</c:v>
                </c:pt>
                <c:pt idx="60">
                  <c:v>64.896075579387855</c:v>
                </c:pt>
                <c:pt idx="61">
                  <c:v>64.805455728009093</c:v>
                </c:pt>
                <c:pt idx="62">
                  <c:v>64.754097780511628</c:v>
                </c:pt>
                <c:pt idx="63">
                  <c:v>64.735864502408361</c:v>
                </c:pt>
                <c:pt idx="64">
                  <c:v>64.742914014702095</c:v>
                </c:pt>
                <c:pt idx="65">
                  <c:v>64.765784545220015</c:v>
                </c:pt>
                <c:pt idx="66">
                  <c:v>64.793511515796837</c:v>
                </c:pt>
                <c:pt idx="67">
                  <c:v>64.813777119189353</c:v>
                </c:pt>
                <c:pt idx="68">
                  <c:v>64.813092115465736</c:v>
                </c:pt>
                <c:pt idx="69">
                  <c:v>64.777009119495517</c:v>
                </c:pt>
                <c:pt idx="70">
                  <c:v>64.69036616053603</c:v>
                </c:pt>
                <c:pt idx="71">
                  <c:v>64.537558774139882</c:v>
                </c:pt>
                <c:pt idx="72">
                  <c:v>64.302838341193478</c:v>
                </c:pt>
                <c:pt idx="73">
                  <c:v>63.970633821937895</c:v>
                </c:pt>
                <c:pt idx="74">
                  <c:v>63.525893449041064</c:v>
                </c:pt>
                <c:pt idx="75">
                  <c:v>62.954442352056503</c:v>
                </c:pt>
                <c:pt idx="76">
                  <c:v>62.243351489275256</c:v>
                </c:pt>
                <c:pt idx="77">
                  <c:v>61.381312674359833</c:v>
                </c:pt>
                <c:pt idx="78">
                  <c:v>60.35901391144148</c:v>
                </c:pt>
                <c:pt idx="79">
                  <c:v>59.169508702297207</c:v>
                </c:pt>
                <c:pt idx="80">
                  <c:v>57.808572481521423</c:v>
                </c:pt>
                <c:pt idx="81">
                  <c:v>56.275038872700861</c:v>
                </c:pt>
                <c:pt idx="82">
                  <c:v>54.571108068419562</c:v>
                </c:pt>
                <c:pt idx="83">
                  <c:v>52.702619321885322</c:v>
                </c:pt>
                <c:pt idx="84">
                  <c:v>50.67927932606699</c:v>
                </c:pt>
                <c:pt idx="85">
                  <c:v>48.514838167553535</c:v>
                </c:pt>
                <c:pt idx="86">
                  <c:v>46.227204580114631</c:v>
                </c:pt>
                <c:pt idx="87">
                  <c:v>43.838492444512667</c:v>
                </c:pt>
                <c:pt idx="88">
                  <c:v>41.374990874646755</c:v>
                </c:pt>
                <c:pt idx="89">
                  <c:v>38.867050843762627</c:v>
                </c:pt>
                <c:pt idx="90">
                  <c:v>36.348882172260346</c:v>
                </c:pt>
                <c:pt idx="91">
                  <c:v>33.85825583066071</c:v>
                </c:pt>
                <c:pt idx="92">
                  <c:v>31.436107958174034</c:v>
                </c:pt>
                <c:pt idx="93">
                  <c:v>29.126043800430125</c:v>
                </c:pt>
                <c:pt idx="94">
                  <c:v>26.973741946552764</c:v>
                </c:pt>
                <c:pt idx="95">
                  <c:v>25.026261852835887</c:v>
                </c:pt>
                <c:pt idx="96">
                  <c:v>23.331260735940305</c:v>
                </c:pt>
                <c:pt idx="97">
                  <c:v>21.936129505269491</c:v>
                </c:pt>
                <c:pt idx="98">
                  <c:v>20.887061594348779</c:v>
                </c:pt>
                <c:pt idx="99">
                  <c:v>20.228073332415079</c:v>
                </c:pt>
                <c:pt idx="100">
                  <c:v>20</c:v>
                </c:pt>
              </c:numCache>
            </c:numRef>
          </c:xVal>
          <c:yVal>
            <c:numRef>
              <c:f>Main!$B$217:$B$317</c:f>
              <c:numCache>
                <c:formatCode>General</c:formatCode>
                <c:ptCount val="101"/>
                <c:pt idx="0">
                  <c:v>30</c:v>
                </c:pt>
                <c:pt idx="1">
                  <c:v>31.077293291388646</c:v>
                </c:pt>
                <c:pt idx="2">
                  <c:v>31.753118070623042</c:v>
                </c:pt>
                <c:pt idx="3">
                  <c:v>32.090466913367472</c:v>
                </c:pt>
                <c:pt idx="4">
                  <c:v>32.148197722007339</c:v>
                </c:pt>
                <c:pt idx="5">
                  <c:v>31.980814873272937</c:v>
                </c:pt>
                <c:pt idx="6">
                  <c:v>31.638332119423076</c:v>
                </c:pt>
                <c:pt idx="7">
                  <c:v>31.166208196969983</c:v>
                </c:pt>
                <c:pt idx="8">
                  <c:v>30.605346538658907</c:v>
                </c:pt>
                <c:pt idx="9">
                  <c:v>29.992150944254</c:v>
                </c:pt>
                <c:pt idx="10">
                  <c:v>29.358629538472506</c:v>
                </c:pt>
                <c:pt idx="11">
                  <c:v>28.732539825417216</c:v>
                </c:pt>
                <c:pt idx="12">
                  <c:v>28.137568133751316</c:v>
                </c:pt>
                <c:pt idx="13">
                  <c:v>27.59353723169567</c:v>
                </c:pt>
                <c:pt idx="14">
                  <c:v>27.116636372139482</c:v>
                </c:pt>
                <c:pt idx="15">
                  <c:v>26.719668502526577</c:v>
                </c:pt>
                <c:pt idx="16">
                  <c:v>26.412309838849573</c:v>
                </c:pt>
                <c:pt idx="17">
                  <c:v>26.201377455510968</c:v>
                </c:pt>
                <c:pt idx="18">
                  <c:v>26.0911009807776</c:v>
                </c:pt>
                <c:pt idx="19">
                  <c:v>26.083394909137741</c:v>
                </c:pt>
                <c:pt idx="20">
                  <c:v>26.178128445439992</c:v>
                </c:pt>
                <c:pt idx="21">
                  <c:v>26.373390179885796</c:v>
                </c:pt>
                <c:pt idx="22">
                  <c:v>26.665745256665772</c:v>
                </c:pt>
                <c:pt idx="23">
                  <c:v>27.050483041416815</c:v>
                </c:pt>
                <c:pt idx="24">
                  <c:v>27.521853613110395</c:v>
                </c:pt>
                <c:pt idx="25">
                  <c:v>28.073291704058647</c:v>
                </c:pt>
                <c:pt idx="26">
                  <c:v>28.697626987244124</c:v>
                </c:pt>
                <c:pt idx="27">
                  <c:v>29.387279863136786</c:v>
                </c:pt>
                <c:pt idx="28">
                  <c:v>30.134442128729646</c:v>
                </c:pt>
                <c:pt idx="29">
                  <c:v>30.931242120042597</c:v>
                </c:pt>
                <c:pt idx="30">
                  <c:v>31.76989410630749</c:v>
                </c:pt>
                <c:pt idx="31">
                  <c:v>32.64283188008524</c:v>
                </c:pt>
                <c:pt idx="32">
                  <c:v>33.542826633450773</c:v>
                </c:pt>
                <c:pt idx="33">
                  <c:v>34.463089336984119</c:v>
                </c:pt>
                <c:pt idx="34">
                  <c:v>35.397357946614143</c:v>
                </c:pt>
                <c:pt idx="35">
                  <c:v>36.339969854453649</c:v>
                </c:pt>
                <c:pt idx="36">
                  <c:v>37.285920074791967</c:v>
                </c:pt>
                <c:pt idx="37">
                  <c:v>38.230905716605186</c:v>
                </c:pt>
                <c:pt idx="38">
                  <c:v>39.17135734057824</c:v>
                </c:pt>
                <c:pt idx="39">
                  <c:v>40.104457833046006</c:v>
                </c:pt>
                <c:pt idx="40">
                  <c:v>41.028149452799937</c:v>
                </c:pt>
                <c:pt idx="41">
                  <c:v>41.94112972077032</c:v>
                </c:pt>
                <c:pt idx="42">
                  <c:v>42.842836828566796</c:v>
                </c:pt>
                <c:pt idx="43">
                  <c:v>43.733425241144218</c:v>
                </c:pt>
                <c:pt idx="44">
                  <c:v>44.613732162838694</c:v>
                </c:pt>
                <c:pt idx="45">
                  <c:v>45.485235526066475</c:v>
                </c:pt>
                <c:pt idx="46">
                  <c:v>46.350004149405031</c:v>
                </c:pt>
                <c:pt idx="47">
                  <c:v>47.210640697915608</c:v>
                </c:pt>
                <c:pt idx="48">
                  <c:v>48.070218064608845</c:v>
                </c:pt>
                <c:pt idx="49">
                  <c:v>48.93220977912393</c:v>
                </c:pt>
                <c:pt idx="50">
                  <c:v>49.8004150390625</c:v>
                </c:pt>
                <c:pt idx="51">
                  <c:v>50.678878952033052</c:v>
                </c:pt>
                <c:pt idx="52">
                  <c:v>51.571808573234215</c:v>
                </c:pt>
                <c:pt idx="53">
                  <c:v>52.483485325197513</c:v>
                </c:pt>
                <c:pt idx="54">
                  <c:v>53.418174393789933</c:v>
                </c:pt>
                <c:pt idx="55">
                  <c:v>54.380031708408033</c:v>
                </c:pt>
                <c:pt idx="56">
                  <c:v>55.37300913489981</c:v>
                </c:pt>
                <c:pt idx="57">
                  <c:v>56.400758537448851</c:v>
                </c:pt>
                <c:pt idx="58">
                  <c:v>57.466535400739311</c:v>
                </c:pt>
                <c:pt idx="59">
                  <c:v>58.573102745998106</c:v>
                </c:pt>
                <c:pt idx="60">
                  <c:v>59.722636124159131</c:v>
                </c:pt>
                <c:pt idx="61">
                  <c:v>60.916630525745866</c:v>
                </c:pt>
                <c:pt idx="62">
                  <c:v>62.155810109947673</c:v>
                </c:pt>
                <c:pt idx="63">
                  <c:v>63.440041723898695</c:v>
                </c:pt>
                <c:pt idx="64">
                  <c:v>64.768253256521362</c:v>
                </c:pt>
                <c:pt idx="65">
                  <c:v>66.138357948402174</c:v>
                </c:pt>
                <c:pt idx="66">
                  <c:v>67.547185858721889</c:v>
                </c:pt>
                <c:pt idx="67">
                  <c:v>68.990423770763755</c:v>
                </c:pt>
                <c:pt idx="68">
                  <c:v>70.462564897066358</c:v>
                </c:pt>
                <c:pt idx="69">
                  <c:v>71.95686982222864</c:v>
                </c:pt>
                <c:pt idx="70">
                  <c:v>73.465340192979369</c:v>
                </c:pt>
                <c:pt idx="71">
                  <c:v>74.978706729487115</c:v>
                </c:pt>
                <c:pt idx="72">
                  <c:v>76.486433185770196</c:v>
                </c:pt>
                <c:pt idx="73">
                  <c:v>77.976737927613968</c:v>
                </c:pt>
                <c:pt idx="74">
                  <c:v>79.436634820700249</c:v>
                </c:pt>
                <c:pt idx="75">
                  <c:v>80.851995125412941</c:v>
                </c:pt>
                <c:pt idx="76">
                  <c:v>82.207632074918195</c:v>
                </c:pt>
                <c:pt idx="77">
                  <c:v>83.487409764937212</c:v>
                </c:pt>
                <c:pt idx="78">
                  <c:v>84.674377902896225</c:v>
                </c:pt>
                <c:pt idx="79">
                  <c:v>85.750933846627106</c:v>
                </c:pt>
                <c:pt idx="80">
                  <c:v>86.699013201915122</c:v>
                </c:pt>
                <c:pt idx="81">
                  <c:v>87.500310041103745</c:v>
                </c:pt>
                <c:pt idx="82">
                  <c:v>88.136527542799513</c:v>
                </c:pt>
                <c:pt idx="83">
                  <c:v>88.589659533084017</c:v>
                </c:pt>
                <c:pt idx="84">
                  <c:v>88.842303021642977</c:v>
                </c:pt>
                <c:pt idx="85">
                  <c:v>88.878001367546119</c:v>
                </c:pt>
                <c:pt idx="86">
                  <c:v>88.681617172055439</c:v>
                </c:pt>
                <c:pt idx="87">
                  <c:v>88.2397333699044</c:v>
                </c:pt>
                <c:pt idx="88">
                  <c:v>87.541080272026534</c:v>
                </c:pt>
                <c:pt idx="89">
                  <c:v>86.576985490448408</c:v>
                </c:pt>
                <c:pt idx="90">
                  <c:v>85.341842743006964</c:v>
                </c:pt>
                <c:pt idx="91">
                  <c:v>83.833594483307706</c:v>
                </c:pt>
                <c:pt idx="92">
                  <c:v>82.054222119104566</c:v>
                </c:pt>
                <c:pt idx="93">
                  <c:v>80.010236262393846</c:v>
                </c:pt>
                <c:pt idx="94">
                  <c:v>77.713157985848511</c:v>
                </c:pt>
                <c:pt idx="95">
                  <c:v>75.179980432421871</c:v>
                </c:pt>
                <c:pt idx="96">
                  <c:v>72.433598328417474</c:v>
                </c:pt>
                <c:pt idx="97">
                  <c:v>69.503190972349557</c:v>
                </c:pt>
                <c:pt idx="98">
                  <c:v>66.424542103736258</c:v>
                </c:pt>
                <c:pt idx="99">
                  <c:v>63.240277679476321</c:v>
                </c:pt>
                <c:pt idx="10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21-414E-B6D5-F4669CA01D1C}"/>
            </c:ext>
          </c:extLst>
        </c:ser>
        <c:ser>
          <c:idx val="2"/>
          <c:order val="2"/>
          <c:tx>
            <c:v>Bspline</c:v>
          </c:tx>
          <c:marker>
            <c:symbol val="none"/>
          </c:marker>
          <c:xVal>
            <c:numRef>
              <c:f>Main!$C$344:$C$464</c:f>
              <c:numCache>
                <c:formatCode>General</c:formatCode>
                <c:ptCount val="121"/>
                <c:pt idx="0">
                  <c:v>80</c:v>
                </c:pt>
                <c:pt idx="1">
                  <c:v>71.306666666666672</c:v>
                </c:pt>
                <c:pt idx="2">
                  <c:v>63.25333333333333</c:v>
                </c:pt>
                <c:pt idx="3">
                  <c:v>55.879999999999995</c:v>
                </c:pt>
                <c:pt idx="4">
                  <c:v>49.226666666666659</c:v>
                </c:pt>
                <c:pt idx="5">
                  <c:v>43.333333333333329</c:v>
                </c:pt>
                <c:pt idx="6">
                  <c:v>38.240000000000016</c:v>
                </c:pt>
                <c:pt idx="7">
                  <c:v>33.986666666666672</c:v>
                </c:pt>
                <c:pt idx="8">
                  <c:v>30.613333333333316</c:v>
                </c:pt>
                <c:pt idx="9">
                  <c:v>28.159999999999986</c:v>
                </c:pt>
                <c:pt idx="10">
                  <c:v>26.666666666666668</c:v>
                </c:pt>
                <c:pt idx="11">
                  <c:v>26.666666666666664</c:v>
                </c:pt>
                <c:pt idx="12">
                  <c:v>26.14833333333333</c:v>
                </c:pt>
                <c:pt idx="13">
                  <c:v>26.52</c:v>
                </c:pt>
                <c:pt idx="14">
                  <c:v>27.671666666666663</c:v>
                </c:pt>
                <c:pt idx="15">
                  <c:v>29.493333333333332</c:v>
                </c:pt>
                <c:pt idx="16">
                  <c:v>31.875</c:v>
                </c:pt>
                <c:pt idx="17">
                  <c:v>34.706666666666678</c:v>
                </c:pt>
                <c:pt idx="18">
                  <c:v>37.87833333333333</c:v>
                </c:pt>
                <c:pt idx="19">
                  <c:v>41.28</c:v>
                </c:pt>
                <c:pt idx="20">
                  <c:v>44.801666666666662</c:v>
                </c:pt>
                <c:pt idx="21">
                  <c:v>48.333333333333329</c:v>
                </c:pt>
                <c:pt idx="22">
                  <c:v>48.333333333333329</c:v>
                </c:pt>
                <c:pt idx="23">
                  <c:v>51.783333333333324</c:v>
                </c:pt>
                <c:pt idx="24">
                  <c:v>55.133333333333333</c:v>
                </c:pt>
                <c:pt idx="25">
                  <c:v>58.383333333333326</c:v>
                </c:pt>
                <c:pt idx="26">
                  <c:v>61.533333333333331</c:v>
                </c:pt>
                <c:pt idx="27">
                  <c:v>64.583333333333329</c:v>
                </c:pt>
                <c:pt idx="28">
                  <c:v>67.533333333333331</c:v>
                </c:pt>
                <c:pt idx="29">
                  <c:v>70.383333333333326</c:v>
                </c:pt>
                <c:pt idx="30">
                  <c:v>73.133333333333326</c:v>
                </c:pt>
                <c:pt idx="31">
                  <c:v>75.783333333333346</c:v>
                </c:pt>
                <c:pt idx="32">
                  <c:v>78.333333333333314</c:v>
                </c:pt>
                <c:pt idx="33">
                  <c:v>78.333333333333314</c:v>
                </c:pt>
                <c:pt idx="34">
                  <c:v>80.778333333333322</c:v>
                </c:pt>
                <c:pt idx="35">
                  <c:v>83.093333333333334</c:v>
                </c:pt>
                <c:pt idx="36">
                  <c:v>85.248333333333321</c:v>
                </c:pt>
                <c:pt idx="37">
                  <c:v>87.213333333333338</c:v>
                </c:pt>
                <c:pt idx="38">
                  <c:v>88.958333333333329</c:v>
                </c:pt>
                <c:pt idx="39">
                  <c:v>90.453333333333333</c:v>
                </c:pt>
                <c:pt idx="40">
                  <c:v>91.668333333333337</c:v>
                </c:pt>
                <c:pt idx="41">
                  <c:v>92.573333333333338</c:v>
                </c:pt>
                <c:pt idx="42">
                  <c:v>93.138333333333321</c:v>
                </c:pt>
                <c:pt idx="43">
                  <c:v>93.333333333333314</c:v>
                </c:pt>
                <c:pt idx="44">
                  <c:v>93.333333333333314</c:v>
                </c:pt>
                <c:pt idx="45">
                  <c:v>93.138333333333335</c:v>
                </c:pt>
                <c:pt idx="46">
                  <c:v>92.573333333333323</c:v>
                </c:pt>
                <c:pt idx="47">
                  <c:v>91.668333333333322</c:v>
                </c:pt>
                <c:pt idx="48">
                  <c:v>90.453333333333319</c:v>
                </c:pt>
                <c:pt idx="49">
                  <c:v>88.958333333333329</c:v>
                </c:pt>
                <c:pt idx="50">
                  <c:v>87.213333333333324</c:v>
                </c:pt>
                <c:pt idx="51">
                  <c:v>85.248333333333321</c:v>
                </c:pt>
                <c:pt idx="52">
                  <c:v>83.09333333333332</c:v>
                </c:pt>
                <c:pt idx="53">
                  <c:v>80.778333333333336</c:v>
                </c:pt>
                <c:pt idx="54">
                  <c:v>78.333333333333314</c:v>
                </c:pt>
                <c:pt idx="55">
                  <c:v>78.333333333333329</c:v>
                </c:pt>
                <c:pt idx="56">
                  <c:v>75.786666666666662</c:v>
                </c:pt>
                <c:pt idx="57">
                  <c:v>73.16</c:v>
                </c:pt>
                <c:pt idx="58">
                  <c:v>70.473333333333343</c:v>
                </c:pt>
                <c:pt idx="59">
                  <c:v>67.74666666666667</c:v>
                </c:pt>
                <c:pt idx="60">
                  <c:v>65</c:v>
                </c:pt>
                <c:pt idx="61">
                  <c:v>62.25333333333333</c:v>
                </c:pt>
                <c:pt idx="62">
                  <c:v>59.526666666666657</c:v>
                </c:pt>
                <c:pt idx="63">
                  <c:v>56.84</c:v>
                </c:pt>
                <c:pt idx="64">
                  <c:v>54.213333333333331</c:v>
                </c:pt>
                <c:pt idx="65">
                  <c:v>51.666666666666657</c:v>
                </c:pt>
                <c:pt idx="66">
                  <c:v>51.666666666666657</c:v>
                </c:pt>
                <c:pt idx="67">
                  <c:v>49.228333333333325</c:v>
                </c:pt>
                <c:pt idx="68">
                  <c:v>46.96</c:v>
                </c:pt>
                <c:pt idx="69">
                  <c:v>44.931666666666665</c:v>
                </c:pt>
                <c:pt idx="70">
                  <c:v>43.213333333333331</c:v>
                </c:pt>
                <c:pt idx="71">
                  <c:v>41.875</c:v>
                </c:pt>
                <c:pt idx="72">
                  <c:v>40.986666666666672</c:v>
                </c:pt>
                <c:pt idx="73">
                  <c:v>40.618333333333325</c:v>
                </c:pt>
                <c:pt idx="74">
                  <c:v>40.839999999999996</c:v>
                </c:pt>
                <c:pt idx="75">
                  <c:v>41.721666666666671</c:v>
                </c:pt>
                <c:pt idx="76">
                  <c:v>43.333333333333329</c:v>
                </c:pt>
                <c:pt idx="77">
                  <c:v>43.333333333333329</c:v>
                </c:pt>
                <c:pt idx="78">
                  <c:v>45.709999999999994</c:v>
                </c:pt>
                <c:pt idx="79">
                  <c:v>48.746666666666663</c:v>
                </c:pt>
                <c:pt idx="80">
                  <c:v>52.303333333333327</c:v>
                </c:pt>
                <c:pt idx="81">
                  <c:v>56.24</c:v>
                </c:pt>
                <c:pt idx="82">
                  <c:v>60.416666666666664</c:v>
                </c:pt>
                <c:pt idx="83">
                  <c:v>64.693333333333328</c:v>
                </c:pt>
                <c:pt idx="84">
                  <c:v>68.929999999999993</c:v>
                </c:pt>
                <c:pt idx="85">
                  <c:v>72.986666666666679</c:v>
                </c:pt>
                <c:pt idx="86">
                  <c:v>76.723333333333343</c:v>
                </c:pt>
                <c:pt idx="87">
                  <c:v>79.999999999999986</c:v>
                </c:pt>
                <c:pt idx="88">
                  <c:v>80</c:v>
                </c:pt>
                <c:pt idx="89">
                  <c:v>82.703333333333333</c:v>
                </c:pt>
                <c:pt idx="90">
                  <c:v>84.826666666666654</c:v>
                </c:pt>
                <c:pt idx="91">
                  <c:v>86.389999999999986</c:v>
                </c:pt>
                <c:pt idx="92">
                  <c:v>87.413333333333327</c:v>
                </c:pt>
                <c:pt idx="93">
                  <c:v>87.916666666666671</c:v>
                </c:pt>
                <c:pt idx="94">
                  <c:v>87.92</c:v>
                </c:pt>
                <c:pt idx="95">
                  <c:v>87.443333333333328</c:v>
                </c:pt>
                <c:pt idx="96">
                  <c:v>86.506666666666661</c:v>
                </c:pt>
                <c:pt idx="97">
                  <c:v>85.13000000000001</c:v>
                </c:pt>
                <c:pt idx="98">
                  <c:v>83.333333333333314</c:v>
                </c:pt>
                <c:pt idx="99">
                  <c:v>83.333333333333329</c:v>
                </c:pt>
                <c:pt idx="100">
                  <c:v>81.139166666666654</c:v>
                </c:pt>
                <c:pt idx="101">
                  <c:v>78.58</c:v>
                </c:pt>
                <c:pt idx="102">
                  <c:v>75.69083333333333</c:v>
                </c:pt>
                <c:pt idx="103">
                  <c:v>72.506666666666661</c:v>
                </c:pt>
                <c:pt idx="104">
                  <c:v>69.0625</c:v>
                </c:pt>
                <c:pt idx="105">
                  <c:v>65.393333333333331</c:v>
                </c:pt>
                <c:pt idx="106">
                  <c:v>61.534166666666657</c:v>
                </c:pt>
                <c:pt idx="107">
                  <c:v>57.519999999999996</c:v>
                </c:pt>
                <c:pt idx="108">
                  <c:v>53.385833333333338</c:v>
                </c:pt>
                <c:pt idx="109">
                  <c:v>49.166666666666657</c:v>
                </c:pt>
                <c:pt idx="110">
                  <c:v>49.166666666666664</c:v>
                </c:pt>
                <c:pt idx="111">
                  <c:v>44.907500000000006</c:v>
                </c:pt>
                <c:pt idx="112">
                  <c:v>40.693333333333321</c:v>
                </c:pt>
                <c:pt idx="113">
                  <c:v>36.619166666666665</c:v>
                </c:pt>
                <c:pt idx="114">
                  <c:v>32.779999999999994</c:v>
                </c:pt>
                <c:pt idx="115">
                  <c:v>29.270833333333329</c:v>
                </c:pt>
                <c:pt idx="116">
                  <c:v>26.18666666666666</c:v>
                </c:pt>
                <c:pt idx="117">
                  <c:v>23.622499999999995</c:v>
                </c:pt>
                <c:pt idx="118">
                  <c:v>21.673333333333325</c:v>
                </c:pt>
                <c:pt idx="119">
                  <c:v>20.434166666666663</c:v>
                </c:pt>
                <c:pt idx="120">
                  <c:v>19.999999999999993</c:v>
                </c:pt>
              </c:numCache>
            </c:numRef>
          </c:xVal>
          <c:yVal>
            <c:numRef>
              <c:f>Main!$D$344:$D$464</c:f>
              <c:numCache>
                <c:formatCode>General</c:formatCode>
                <c:ptCount val="121"/>
                <c:pt idx="0">
                  <c:v>30</c:v>
                </c:pt>
                <c:pt idx="1">
                  <c:v>32.423333333333332</c:v>
                </c:pt>
                <c:pt idx="2">
                  <c:v>33.786666666666669</c:v>
                </c:pt>
                <c:pt idx="3">
                  <c:v>34.230000000000004</c:v>
                </c:pt>
                <c:pt idx="4">
                  <c:v>33.893333333333331</c:v>
                </c:pt>
                <c:pt idx="5">
                  <c:v>32.916666666666671</c:v>
                </c:pt>
                <c:pt idx="6">
                  <c:v>31.440000000000005</c:v>
                </c:pt>
                <c:pt idx="7">
                  <c:v>29.603333333333332</c:v>
                </c:pt>
                <c:pt idx="8">
                  <c:v>27.54666666666666</c:v>
                </c:pt>
                <c:pt idx="9">
                  <c:v>25.409999999999993</c:v>
                </c:pt>
                <c:pt idx="10">
                  <c:v>23.333333333333336</c:v>
                </c:pt>
                <c:pt idx="11">
                  <c:v>23.333333333333332</c:v>
                </c:pt>
                <c:pt idx="12">
                  <c:v>21.434999999999999</c:v>
                </c:pt>
                <c:pt idx="13">
                  <c:v>19.746666666666666</c:v>
                </c:pt>
                <c:pt idx="14">
                  <c:v>18.278333333333332</c:v>
                </c:pt>
                <c:pt idx="15">
                  <c:v>17.04</c:v>
                </c:pt>
                <c:pt idx="16">
                  <c:v>16.041666666666664</c:v>
                </c:pt>
                <c:pt idx="17">
                  <c:v>15.293333333333338</c:v>
                </c:pt>
                <c:pt idx="18">
                  <c:v>14.805000000000001</c:v>
                </c:pt>
                <c:pt idx="19">
                  <c:v>14.586666666666661</c:v>
                </c:pt>
                <c:pt idx="20">
                  <c:v>14.648333333333326</c:v>
                </c:pt>
                <c:pt idx="21">
                  <c:v>14.999999999999996</c:v>
                </c:pt>
                <c:pt idx="22">
                  <c:v>15</c:v>
                </c:pt>
                <c:pt idx="23">
                  <c:v>15.645</c:v>
                </c:pt>
                <c:pt idx="24">
                  <c:v>16.559999999999999</c:v>
                </c:pt>
                <c:pt idx="25">
                  <c:v>17.715</c:v>
                </c:pt>
                <c:pt idx="26">
                  <c:v>19.080000000000002</c:v>
                </c:pt>
                <c:pt idx="27">
                  <c:v>20.624999999999996</c:v>
                </c:pt>
                <c:pt idx="28">
                  <c:v>22.320000000000004</c:v>
                </c:pt>
                <c:pt idx="29">
                  <c:v>24.134999999999998</c:v>
                </c:pt>
                <c:pt idx="30">
                  <c:v>26.04</c:v>
                </c:pt>
                <c:pt idx="31">
                  <c:v>28.004999999999999</c:v>
                </c:pt>
                <c:pt idx="32">
                  <c:v>29.999999999999993</c:v>
                </c:pt>
                <c:pt idx="33">
                  <c:v>30</c:v>
                </c:pt>
                <c:pt idx="34">
                  <c:v>31.996666666666663</c:v>
                </c:pt>
                <c:pt idx="35">
                  <c:v>33.973333333333336</c:v>
                </c:pt>
                <c:pt idx="36">
                  <c:v>35.909999999999997</c:v>
                </c:pt>
                <c:pt idx="37">
                  <c:v>37.786666666666662</c:v>
                </c:pt>
                <c:pt idx="38">
                  <c:v>39.583333333333329</c:v>
                </c:pt>
                <c:pt idx="39">
                  <c:v>41.28</c:v>
                </c:pt>
                <c:pt idx="40">
                  <c:v>42.856666666666662</c:v>
                </c:pt>
                <c:pt idx="41">
                  <c:v>44.293333333333329</c:v>
                </c:pt>
                <c:pt idx="42">
                  <c:v>45.57</c:v>
                </c:pt>
                <c:pt idx="43">
                  <c:v>46.666666666666657</c:v>
                </c:pt>
                <c:pt idx="44">
                  <c:v>46.666666666666657</c:v>
                </c:pt>
                <c:pt idx="45">
                  <c:v>47.57</c:v>
                </c:pt>
                <c:pt idx="46">
                  <c:v>48.293333333333337</c:v>
                </c:pt>
                <c:pt idx="47">
                  <c:v>48.856666666666662</c:v>
                </c:pt>
                <c:pt idx="48">
                  <c:v>49.279999999999994</c:v>
                </c:pt>
                <c:pt idx="49">
                  <c:v>49.583333333333329</c:v>
                </c:pt>
                <c:pt idx="50">
                  <c:v>49.786666666666662</c:v>
                </c:pt>
                <c:pt idx="51">
                  <c:v>49.91</c:v>
                </c:pt>
                <c:pt idx="52">
                  <c:v>49.973333333333329</c:v>
                </c:pt>
                <c:pt idx="53">
                  <c:v>49.99666666666667</c:v>
                </c:pt>
                <c:pt idx="54">
                  <c:v>49.999999999999986</c:v>
                </c:pt>
                <c:pt idx="55">
                  <c:v>49.999999999999986</c:v>
                </c:pt>
                <c:pt idx="56">
                  <c:v>49.999999999999993</c:v>
                </c:pt>
                <c:pt idx="57">
                  <c:v>50</c:v>
                </c:pt>
                <c:pt idx="58">
                  <c:v>49.999999999999993</c:v>
                </c:pt>
                <c:pt idx="59">
                  <c:v>50</c:v>
                </c:pt>
                <c:pt idx="60">
                  <c:v>49.999999999999993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49.999999999999986</c:v>
                </c:pt>
                <c:pt idx="66">
                  <c:v>49.999999999999986</c:v>
                </c:pt>
                <c:pt idx="67">
                  <c:v>50.001666666666658</c:v>
                </c:pt>
                <c:pt idx="68">
                  <c:v>50.013333333333328</c:v>
                </c:pt>
                <c:pt idx="69">
                  <c:v>50.044999999999995</c:v>
                </c:pt>
                <c:pt idx="70">
                  <c:v>50.106666666666669</c:v>
                </c:pt>
                <c:pt idx="71">
                  <c:v>50.208333333333329</c:v>
                </c:pt>
                <c:pt idx="72">
                  <c:v>50.36</c:v>
                </c:pt>
                <c:pt idx="73">
                  <c:v>50.571666666666665</c:v>
                </c:pt>
                <c:pt idx="74">
                  <c:v>50.853333333333339</c:v>
                </c:pt>
                <c:pt idx="75">
                  <c:v>51.214999999999996</c:v>
                </c:pt>
                <c:pt idx="76">
                  <c:v>51.666666666666657</c:v>
                </c:pt>
                <c:pt idx="77">
                  <c:v>51.666666666666657</c:v>
                </c:pt>
                <c:pt idx="78">
                  <c:v>52.22</c:v>
                </c:pt>
                <c:pt idx="79">
                  <c:v>52.893333333333331</c:v>
                </c:pt>
                <c:pt idx="80">
                  <c:v>53.706666666666663</c:v>
                </c:pt>
                <c:pt idx="81">
                  <c:v>54.68</c:v>
                </c:pt>
                <c:pt idx="82">
                  <c:v>55.833333333333336</c:v>
                </c:pt>
                <c:pt idx="83">
                  <c:v>57.186666666666675</c:v>
                </c:pt>
                <c:pt idx="84">
                  <c:v>58.759999999999991</c:v>
                </c:pt>
                <c:pt idx="85">
                  <c:v>60.573333333333338</c:v>
                </c:pt>
                <c:pt idx="86">
                  <c:v>62.646666666666668</c:v>
                </c:pt>
                <c:pt idx="87">
                  <c:v>64.999999999999986</c:v>
                </c:pt>
                <c:pt idx="88">
                  <c:v>65</c:v>
                </c:pt>
                <c:pt idx="89">
                  <c:v>67.64</c:v>
                </c:pt>
                <c:pt idx="90">
                  <c:v>70.52</c:v>
                </c:pt>
                <c:pt idx="91">
                  <c:v>73.58</c:v>
                </c:pt>
                <c:pt idx="92">
                  <c:v>76.760000000000005</c:v>
                </c:pt>
                <c:pt idx="93">
                  <c:v>80</c:v>
                </c:pt>
                <c:pt idx="94">
                  <c:v>83.24</c:v>
                </c:pt>
                <c:pt idx="95">
                  <c:v>86.419999999999987</c:v>
                </c:pt>
                <c:pt idx="96">
                  <c:v>89.48</c:v>
                </c:pt>
                <c:pt idx="97">
                  <c:v>92.360000000000014</c:v>
                </c:pt>
                <c:pt idx="98">
                  <c:v>94.999999999999986</c:v>
                </c:pt>
                <c:pt idx="99">
                  <c:v>94.999999999999986</c:v>
                </c:pt>
                <c:pt idx="100">
                  <c:v>97.347083333333316</c:v>
                </c:pt>
                <c:pt idx="101">
                  <c:v>99.376666666666679</c:v>
                </c:pt>
                <c:pt idx="102">
                  <c:v>101.07124999999999</c:v>
                </c:pt>
                <c:pt idx="103">
                  <c:v>102.41333333333333</c:v>
                </c:pt>
                <c:pt idx="104">
                  <c:v>103.38541666666666</c:v>
                </c:pt>
                <c:pt idx="105">
                  <c:v>103.97</c:v>
                </c:pt>
                <c:pt idx="106">
                  <c:v>104.14958333333333</c:v>
                </c:pt>
                <c:pt idx="107">
                  <c:v>103.90666666666667</c:v>
                </c:pt>
                <c:pt idx="108">
                  <c:v>103.22375000000001</c:v>
                </c:pt>
                <c:pt idx="109">
                  <c:v>102.08333333333331</c:v>
                </c:pt>
                <c:pt idx="110">
                  <c:v>102.08333333333331</c:v>
                </c:pt>
                <c:pt idx="111">
                  <c:v>100.46625</c:v>
                </c:pt>
                <c:pt idx="112">
                  <c:v>98.346666666666664</c:v>
                </c:pt>
                <c:pt idx="113">
                  <c:v>95.697083333333325</c:v>
                </c:pt>
                <c:pt idx="114">
                  <c:v>92.490000000000009</c:v>
                </c:pt>
                <c:pt idx="115">
                  <c:v>88.697916666666657</c:v>
                </c:pt>
                <c:pt idx="116">
                  <c:v>84.293333333333322</c:v>
                </c:pt>
                <c:pt idx="117">
                  <c:v>79.248749999999987</c:v>
                </c:pt>
                <c:pt idx="118">
                  <c:v>73.536666666666648</c:v>
                </c:pt>
                <c:pt idx="119">
                  <c:v>67.129583333333329</c:v>
                </c:pt>
                <c:pt idx="120">
                  <c:v>59.999999999999986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5-4C60-ACD5-B08EB06F6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15464"/>
        <c:axId val="228615856"/>
      </c:scatterChart>
      <c:valAx>
        <c:axId val="228615464"/>
        <c:scaling>
          <c:orientation val="minMax"/>
          <c:max val="1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615856"/>
        <c:crosses val="autoZero"/>
        <c:crossBetween val="midCat"/>
        <c:majorUnit val="10"/>
      </c:valAx>
      <c:valAx>
        <c:axId val="228615856"/>
        <c:scaling>
          <c:orientation val="minMax"/>
          <c:max val="11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615464"/>
        <c:crosses val="autoZero"/>
        <c:crossBetween val="midCat"/>
        <c:maj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12846837056383"/>
          <c:y val="6.9892656598246103E-2"/>
          <c:w val="0.8358995289952148"/>
          <c:h val="0.8556207084185831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'Main (2)'!$B$6:$B$25</c:f>
              <c:numCache>
                <c:formatCode>General</c:formatCode>
                <c:ptCount val="20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100</c:v>
                </c:pt>
                <c:pt idx="5">
                  <c:v>80</c:v>
                </c:pt>
                <c:pt idx="6">
                  <c:v>85</c:v>
                </c:pt>
                <c:pt idx="7">
                  <c:v>75</c:v>
                </c:pt>
                <c:pt idx="8">
                  <c:v>85</c:v>
                </c:pt>
                <c:pt idx="9">
                  <c:v>105</c:v>
                </c:pt>
                <c:pt idx="10">
                  <c:v>105</c:v>
                </c:pt>
                <c:pt idx="11">
                  <c:v>85</c:v>
                </c:pt>
                <c:pt idx="12">
                  <c:v>65</c:v>
                </c:pt>
                <c:pt idx="13">
                  <c:v>80</c:v>
                </c:pt>
                <c:pt idx="14">
                  <c:v>75</c:v>
                </c:pt>
                <c:pt idx="15">
                  <c:v>90</c:v>
                </c:pt>
                <c:pt idx="16">
                  <c:v>80</c:v>
                </c:pt>
                <c:pt idx="17">
                  <c:v>60</c:v>
                </c:pt>
                <c:pt idx="18">
                  <c:v>30</c:v>
                </c:pt>
                <c:pt idx="19">
                  <c:v>20</c:v>
                </c:pt>
              </c:numCache>
            </c:numRef>
          </c:xVal>
          <c:yVal>
            <c:numRef>
              <c:f>'Main (2)'!$C$6:$C$25</c:f>
              <c:numCache>
                <c:formatCode>General</c:formatCode>
                <c:ptCount val="20"/>
                <c:pt idx="0">
                  <c:v>20</c:v>
                </c:pt>
                <c:pt idx="1">
                  <c:v>5</c:v>
                </c:pt>
                <c:pt idx="2">
                  <c:v>5</c:v>
                </c:pt>
                <c:pt idx="3">
                  <c:v>25</c:v>
                </c:pt>
                <c:pt idx="4">
                  <c:v>45</c:v>
                </c:pt>
                <c:pt idx="5">
                  <c:v>55</c:v>
                </c:pt>
                <c:pt idx="6">
                  <c:v>80</c:v>
                </c:pt>
                <c:pt idx="7">
                  <c:v>90</c:v>
                </c:pt>
                <c:pt idx="8">
                  <c:v>95</c:v>
                </c:pt>
                <c:pt idx="9">
                  <c:v>85</c:v>
                </c:pt>
                <c:pt idx="10">
                  <c:v>90</c:v>
                </c:pt>
                <c:pt idx="11">
                  <c:v>100</c:v>
                </c:pt>
                <c:pt idx="12">
                  <c:v>90</c:v>
                </c:pt>
                <c:pt idx="13">
                  <c:v>75</c:v>
                </c:pt>
                <c:pt idx="14">
                  <c:v>50</c:v>
                </c:pt>
                <c:pt idx="15">
                  <c:v>40</c:v>
                </c:pt>
                <c:pt idx="16">
                  <c:v>30</c:v>
                </c:pt>
                <c:pt idx="17">
                  <c:v>15</c:v>
                </c:pt>
                <c:pt idx="18">
                  <c:v>15</c:v>
                </c:pt>
                <c:pt idx="19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DD-43DE-B832-F874C9757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15072"/>
        <c:axId val="228613896"/>
      </c:scatterChart>
      <c:valAx>
        <c:axId val="228615072"/>
        <c:scaling>
          <c:orientation val="minMax"/>
          <c:max val="1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613896"/>
        <c:crosses val="autoZero"/>
        <c:crossBetween val="midCat"/>
        <c:majorUnit val="10"/>
      </c:valAx>
      <c:valAx>
        <c:axId val="228613896"/>
        <c:scaling>
          <c:orientation val="minMax"/>
          <c:max val="11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615072"/>
        <c:crosses val="autoZero"/>
        <c:crossBetween val="midCat"/>
        <c:maj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591608</xdr:colOff>
      <xdr:row>3</xdr:row>
      <xdr:rowOff>95250</xdr:rowOff>
    </xdr:from>
    <xdr:to>
      <xdr:col>15</xdr:col>
      <xdr:colOff>592666</xdr:colOff>
      <xdr:row>47</xdr:row>
      <xdr:rowOff>105833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591608</xdr:colOff>
      <xdr:row>3</xdr:row>
      <xdr:rowOff>95250</xdr:rowOff>
    </xdr:from>
    <xdr:to>
      <xdr:col>15</xdr:col>
      <xdr:colOff>592666</xdr:colOff>
      <xdr:row>47</xdr:row>
      <xdr:rowOff>105833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571499</xdr:colOff>
      <xdr:row>34</xdr:row>
      <xdr:rowOff>104775</xdr:rowOff>
    </xdr:from>
    <xdr:to>
      <xdr:col>7</xdr:col>
      <xdr:colOff>409574</xdr:colOff>
      <xdr:row>36</xdr:row>
      <xdr:rowOff>114300</xdr:rowOff>
    </xdr:to>
    <xdr:sp macro="" textlink="">
      <xdr:nvSpPr>
        <xdr:cNvPr id="3" name="TextBox 2"/>
        <xdr:cNvSpPr txBox="1"/>
      </xdr:nvSpPr>
      <xdr:spPr>
        <a:xfrm>
          <a:off x="4229099" y="6334125"/>
          <a:ext cx="447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CA" sz="1600"/>
            <a:t>p</a:t>
          </a:r>
          <a:r>
            <a:rPr lang="en-CA" sz="1600" baseline="-25000"/>
            <a:t>19</a:t>
          </a:r>
        </a:p>
      </xdr:txBody>
    </xdr:sp>
    <xdr:clientData/>
  </xdr:twoCellAnchor>
  <xdr:twoCellAnchor>
    <xdr:from>
      <xdr:col>5</xdr:col>
      <xdr:colOff>428624</xdr:colOff>
      <xdr:row>34</xdr:row>
      <xdr:rowOff>152400</xdr:rowOff>
    </xdr:from>
    <xdr:to>
      <xdr:col>6</xdr:col>
      <xdr:colOff>266699</xdr:colOff>
      <xdr:row>37</xdr:row>
      <xdr:rowOff>0</xdr:rowOff>
    </xdr:to>
    <xdr:sp macro="" textlink="">
      <xdr:nvSpPr>
        <xdr:cNvPr id="6" name="TextBox 5"/>
        <xdr:cNvSpPr txBox="1"/>
      </xdr:nvSpPr>
      <xdr:spPr>
        <a:xfrm>
          <a:off x="3476624" y="6381750"/>
          <a:ext cx="447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CA" sz="1600"/>
            <a:t>p</a:t>
          </a:r>
          <a:r>
            <a:rPr lang="en-CA" sz="1600" baseline="-250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7"/>
  <sheetViews>
    <sheetView workbookViewId="0">
      <selection activeCell="D17" sqref="D17"/>
    </sheetView>
  </sheetViews>
  <sheetFormatPr defaultRowHeight="12.75" x14ac:dyDescent="0.2"/>
  <cols>
    <col min="1" max="1" width="15.5703125" bestFit="1" customWidth="1"/>
  </cols>
  <sheetData>
    <row r="1" spans="1:3" x14ac:dyDescent="0.2">
      <c r="A1" s="8">
        <v>40625.55027777778</v>
      </c>
      <c r="B1" s="9" t="s">
        <v>22</v>
      </c>
      <c r="C1" s="9" t="s">
        <v>21</v>
      </c>
    </row>
    <row r="2" spans="1:3" x14ac:dyDescent="0.2">
      <c r="A2" s="8">
        <v>40630.523761574077</v>
      </c>
      <c r="B2" s="9" t="s">
        <v>25</v>
      </c>
      <c r="C2" s="9" t="s">
        <v>21</v>
      </c>
    </row>
    <row r="3" spans="1:3" x14ac:dyDescent="0.2">
      <c r="A3" s="8">
        <v>41606.530682870369</v>
      </c>
      <c r="B3" s="9" t="s">
        <v>26</v>
      </c>
      <c r="C3" s="9" t="s">
        <v>21</v>
      </c>
    </row>
    <row r="4" spans="1:3" x14ac:dyDescent="0.2">
      <c r="A4" s="20">
        <v>42703.413078703707</v>
      </c>
      <c r="B4" s="21" t="s">
        <v>27</v>
      </c>
      <c r="C4" s="21" t="s">
        <v>21</v>
      </c>
    </row>
    <row r="5" spans="1:3" x14ac:dyDescent="0.2">
      <c r="A5" s="20">
        <v>42709.435474537036</v>
      </c>
      <c r="B5" s="21" t="s">
        <v>27</v>
      </c>
      <c r="C5" s="21" t="s">
        <v>21</v>
      </c>
    </row>
    <row r="6" spans="1:3" x14ac:dyDescent="0.2">
      <c r="A6" s="20">
        <v>42709.567106481481</v>
      </c>
      <c r="B6" s="21" t="s">
        <v>27</v>
      </c>
      <c r="C6" s="21" t="s">
        <v>21</v>
      </c>
    </row>
    <row r="7" spans="1:3" x14ac:dyDescent="0.2">
      <c r="A7" s="20">
        <v>42710.443807870368</v>
      </c>
      <c r="B7" s="21" t="s">
        <v>27</v>
      </c>
      <c r="C7" s="21" t="s">
        <v>21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472"/>
  <sheetViews>
    <sheetView tabSelected="1" topLeftCell="A444" zoomScaleNormal="100" workbookViewId="0">
      <selection activeCell="B472" sqref="B472"/>
    </sheetView>
  </sheetViews>
  <sheetFormatPr defaultRowHeight="12.75" x14ac:dyDescent="0.2"/>
  <cols>
    <col min="8" max="8" width="9.140625" customWidth="1"/>
  </cols>
  <sheetData>
    <row r="1" spans="1:3" ht="27.75" x14ac:dyDescent="0.4">
      <c r="A1" s="13" t="s">
        <v>21</v>
      </c>
    </row>
    <row r="2" spans="1:3" ht="27.75" x14ac:dyDescent="0.4">
      <c r="A2" s="13"/>
    </row>
    <row r="3" spans="1:3" ht="18" x14ac:dyDescent="0.25">
      <c r="A3" s="1" t="s">
        <v>23</v>
      </c>
    </row>
    <row r="4" spans="1:3" ht="18" x14ac:dyDescent="0.25">
      <c r="A4" s="1"/>
    </row>
    <row r="5" spans="1:3" ht="13.5" thickBot="1" x14ac:dyDescent="0.25">
      <c r="B5" s="6" t="s">
        <v>0</v>
      </c>
      <c r="C5" s="6" t="s">
        <v>1</v>
      </c>
    </row>
    <row r="6" spans="1:3" ht="13.5" x14ac:dyDescent="0.25">
      <c r="A6" s="7" t="s">
        <v>2</v>
      </c>
      <c r="B6" s="2">
        <v>80</v>
      </c>
      <c r="C6" s="3">
        <v>30</v>
      </c>
    </row>
    <row r="7" spans="1:3" ht="13.5" x14ac:dyDescent="0.25">
      <c r="A7" s="7" t="s">
        <v>3</v>
      </c>
      <c r="B7" s="4">
        <v>50</v>
      </c>
      <c r="C7" s="5">
        <v>40</v>
      </c>
    </row>
    <row r="8" spans="1:3" ht="13.5" x14ac:dyDescent="0.25">
      <c r="A8" s="7" t="s">
        <v>4</v>
      </c>
      <c r="B8" s="4">
        <v>10</v>
      </c>
      <c r="C8" s="5">
        <v>20</v>
      </c>
    </row>
    <row r="9" spans="1:3" ht="13.5" x14ac:dyDescent="0.25">
      <c r="A9" s="7" t="s">
        <v>5</v>
      </c>
      <c r="B9" s="4">
        <v>50</v>
      </c>
      <c r="C9" s="5">
        <v>10</v>
      </c>
    </row>
    <row r="10" spans="1:3" ht="13.5" x14ac:dyDescent="0.25">
      <c r="A10" s="7" t="s">
        <v>6</v>
      </c>
      <c r="B10" s="4">
        <v>80</v>
      </c>
      <c r="C10" s="5">
        <v>30</v>
      </c>
    </row>
    <row r="11" spans="1:3" ht="13.5" x14ac:dyDescent="0.25">
      <c r="A11" s="7" t="s">
        <v>7</v>
      </c>
      <c r="B11" s="4">
        <v>100</v>
      </c>
      <c r="C11" s="5">
        <v>50</v>
      </c>
    </row>
    <row r="12" spans="1:3" ht="13.5" x14ac:dyDescent="0.25">
      <c r="A12" s="7" t="s">
        <v>8</v>
      </c>
      <c r="B12" s="4">
        <v>80</v>
      </c>
      <c r="C12" s="5">
        <v>50</v>
      </c>
    </row>
    <row r="13" spans="1:3" ht="13.5" x14ac:dyDescent="0.25">
      <c r="A13" s="7" t="s">
        <v>9</v>
      </c>
      <c r="B13" s="10">
        <v>50</v>
      </c>
      <c r="C13" s="11">
        <v>50</v>
      </c>
    </row>
    <row r="14" spans="1:3" ht="13.5" x14ac:dyDescent="0.25">
      <c r="A14" s="7" t="s">
        <v>10</v>
      </c>
      <c r="B14" s="4">
        <v>30</v>
      </c>
      <c r="C14" s="5">
        <v>50</v>
      </c>
    </row>
    <row r="15" spans="1:3" ht="13.5" x14ac:dyDescent="0.25">
      <c r="A15" s="7" t="s">
        <v>11</v>
      </c>
      <c r="B15" s="4">
        <v>90</v>
      </c>
      <c r="C15" s="5">
        <v>60</v>
      </c>
    </row>
    <row r="16" spans="1:3" ht="13.5" x14ac:dyDescent="0.25">
      <c r="A16" s="7" t="s">
        <v>12</v>
      </c>
      <c r="B16" s="4">
        <v>90</v>
      </c>
      <c r="C16" s="5">
        <v>100</v>
      </c>
    </row>
    <row r="17" spans="1:3" ht="13.5" x14ac:dyDescent="0.25">
      <c r="A17" s="7" t="s">
        <v>13</v>
      </c>
      <c r="B17" s="10">
        <v>50</v>
      </c>
      <c r="C17" s="11">
        <v>110</v>
      </c>
    </row>
    <row r="18" spans="1:3" ht="13.5" x14ac:dyDescent="0.25">
      <c r="A18" s="7" t="s">
        <v>14</v>
      </c>
      <c r="B18" s="10">
        <v>20</v>
      </c>
      <c r="C18" s="11">
        <v>85</v>
      </c>
    </row>
    <row r="19" spans="1:3" ht="13.5" x14ac:dyDescent="0.25">
      <c r="A19" s="7" t="s">
        <v>15</v>
      </c>
      <c r="B19" s="18">
        <v>20</v>
      </c>
      <c r="C19" s="19">
        <v>60</v>
      </c>
    </row>
    <row r="20" spans="1:3" x14ac:dyDescent="0.2">
      <c r="A20" s="7"/>
      <c r="B20" s="16"/>
      <c r="C20" s="16"/>
    </row>
    <row r="21" spans="1:3" x14ac:dyDescent="0.2">
      <c r="A21" s="7"/>
      <c r="B21" s="17"/>
      <c r="C21" s="17"/>
    </row>
    <row r="22" spans="1:3" x14ac:dyDescent="0.2">
      <c r="A22" s="7"/>
      <c r="B22" s="17"/>
      <c r="C22" s="17"/>
    </row>
    <row r="23" spans="1:3" x14ac:dyDescent="0.2">
      <c r="A23" s="7"/>
      <c r="B23" s="17"/>
      <c r="C23" s="17"/>
    </row>
    <row r="24" spans="1:3" x14ac:dyDescent="0.2">
      <c r="A24" s="7"/>
      <c r="B24" s="17"/>
      <c r="C24" s="17"/>
    </row>
    <row r="25" spans="1:3" x14ac:dyDescent="0.2">
      <c r="A25" s="7"/>
      <c r="B25" s="17"/>
      <c r="C25" s="17"/>
    </row>
    <row r="29" spans="1:3" x14ac:dyDescent="0.2">
      <c r="B29" s="12"/>
    </row>
    <row r="30" spans="1:3" x14ac:dyDescent="0.2">
      <c r="B30" s="12"/>
    </row>
    <row r="31" spans="1:3" x14ac:dyDescent="0.2">
      <c r="B31" s="12"/>
    </row>
    <row r="32" spans="1:3" x14ac:dyDescent="0.2">
      <c r="B32" s="12"/>
    </row>
    <row r="50" spans="1:15" x14ac:dyDescent="0.2">
      <c r="A50" t="s">
        <v>28</v>
      </c>
    </row>
    <row r="52" spans="1:15" ht="15" x14ac:dyDescent="0.25">
      <c r="A52" s="22"/>
      <c r="B52" s="22" t="s">
        <v>29</v>
      </c>
      <c r="C52" s="22" t="s">
        <v>30</v>
      </c>
      <c r="D52" s="22" t="s">
        <v>31</v>
      </c>
      <c r="E52" s="22" t="s">
        <v>32</v>
      </c>
      <c r="F52" s="22" t="s">
        <v>33</v>
      </c>
      <c r="G52" s="22" t="s">
        <v>34</v>
      </c>
      <c r="H52" s="22" t="s">
        <v>35</v>
      </c>
      <c r="I52" s="22" t="s">
        <v>36</v>
      </c>
      <c r="J52" s="22" t="s">
        <v>37</v>
      </c>
      <c r="K52" s="22" t="s">
        <v>38</v>
      </c>
      <c r="L52" s="22" t="s">
        <v>39</v>
      </c>
      <c r="M52" s="22" t="s">
        <v>40</v>
      </c>
      <c r="N52" s="22" t="s">
        <v>41</v>
      </c>
      <c r="O52" s="22" t="s">
        <v>42</v>
      </c>
    </row>
    <row r="53" spans="1:15" ht="15" x14ac:dyDescent="0.25">
      <c r="A53" s="22">
        <f>0</f>
        <v>0</v>
      </c>
      <c r="B53" s="22">
        <v>1</v>
      </c>
      <c r="C53" s="22">
        <f>A53*0.01</f>
        <v>0</v>
      </c>
      <c r="D53" s="22">
        <f>POWER(C53,2)</f>
        <v>0</v>
      </c>
      <c r="E53" s="22">
        <f>POWER(C53,3)</f>
        <v>0</v>
      </c>
      <c r="F53" s="22">
        <f>POWER(C53,4)</f>
        <v>0</v>
      </c>
      <c r="G53" s="22">
        <f>POWER(C53,5)</f>
        <v>0</v>
      </c>
      <c r="H53" s="22">
        <f>POWER(C53,6)</f>
        <v>0</v>
      </c>
      <c r="I53" s="22">
        <f>POWER(C53,7)</f>
        <v>0</v>
      </c>
      <c r="J53" s="22">
        <f>POWER(C53,8)</f>
        <v>0</v>
      </c>
      <c r="K53" s="22">
        <f>POWER(C53,9)</f>
        <v>0</v>
      </c>
      <c r="L53" s="22">
        <f>POWER(C53,10)</f>
        <v>0</v>
      </c>
      <c r="M53" s="22">
        <f>POWER(C53,11)</f>
        <v>0</v>
      </c>
      <c r="N53" s="22">
        <f>POWER(C53,12)</f>
        <v>0</v>
      </c>
      <c r="O53" s="22">
        <f>POWER(C53,13)</f>
        <v>0</v>
      </c>
    </row>
    <row r="54" spans="1:15" ht="15" x14ac:dyDescent="0.25">
      <c r="A54" s="22">
        <f>A53+1</f>
        <v>1</v>
      </c>
      <c r="B54" s="22">
        <v>1</v>
      </c>
      <c r="C54" s="22">
        <f t="shared" ref="C54:C117" si="0">A54*0.01</f>
        <v>0.01</v>
      </c>
      <c r="D54" s="22">
        <f t="shared" ref="D54:D117" si="1">POWER(C54,2)</f>
        <v>1E-4</v>
      </c>
      <c r="E54" s="22">
        <f t="shared" ref="E54:E117" si="2">POWER(C54,3)</f>
        <v>1.0000000000000002E-6</v>
      </c>
      <c r="F54" s="22">
        <f t="shared" ref="F54:F117" si="3">POWER(C54,4)</f>
        <v>1E-8</v>
      </c>
      <c r="G54" s="22">
        <f t="shared" ref="G54:G117" si="4">POWER(C54,5)</f>
        <v>1E-10</v>
      </c>
      <c r="H54" s="22">
        <f t="shared" ref="H54:H117" si="5">POWER(C54,6)</f>
        <v>9.9999999999999998E-13</v>
      </c>
      <c r="I54" s="22">
        <f t="shared" ref="I54:I117" si="6">POWER(C54,7)</f>
        <v>1.0000000000000002E-14</v>
      </c>
      <c r="J54" s="22">
        <f t="shared" ref="J54:J117" si="7">POWER(C54,8)</f>
        <v>1.0000000000000001E-16</v>
      </c>
      <c r="K54" s="22">
        <f t="shared" ref="K54:K117" si="8">POWER(C54,9)</f>
        <v>1.0000000000000001E-18</v>
      </c>
      <c r="L54" s="22">
        <f t="shared" ref="L54:L117" si="9">POWER(C54,10)</f>
        <v>1.0000000000000001E-20</v>
      </c>
      <c r="M54" s="22">
        <f t="shared" ref="M54:M117" si="10">POWER(C54,11)</f>
        <v>1.0000000000000003E-22</v>
      </c>
      <c r="N54" s="22">
        <f t="shared" ref="N54:N117" si="11">POWER(C54,12)</f>
        <v>1.0000000000000001E-24</v>
      </c>
      <c r="O54" s="22">
        <f t="shared" ref="O54:O117" si="12">POWER(C54,13)</f>
        <v>1.0000000000000002E-26</v>
      </c>
    </row>
    <row r="55" spans="1:15" ht="15" x14ac:dyDescent="0.25">
      <c r="A55" s="22">
        <f t="shared" ref="A55:A118" si="13">A54+1</f>
        <v>2</v>
      </c>
      <c r="B55" s="22">
        <v>1</v>
      </c>
      <c r="C55" s="22">
        <f t="shared" si="0"/>
        <v>0.02</v>
      </c>
      <c r="D55" s="22">
        <f t="shared" si="1"/>
        <v>4.0000000000000002E-4</v>
      </c>
      <c r="E55" s="22">
        <f t="shared" si="2"/>
        <v>8.0000000000000013E-6</v>
      </c>
      <c r="F55" s="22">
        <f t="shared" si="3"/>
        <v>1.6E-7</v>
      </c>
      <c r="G55" s="22">
        <f t="shared" si="4"/>
        <v>3.2000000000000001E-9</v>
      </c>
      <c r="H55" s="22">
        <f t="shared" si="5"/>
        <v>6.3999999999999999E-11</v>
      </c>
      <c r="I55" s="22">
        <f t="shared" si="6"/>
        <v>1.2800000000000002E-12</v>
      </c>
      <c r="J55" s="22">
        <f t="shared" si="7"/>
        <v>2.5600000000000003E-14</v>
      </c>
      <c r="K55" s="22">
        <f t="shared" si="8"/>
        <v>5.1200000000000004E-16</v>
      </c>
      <c r="L55" s="22">
        <f t="shared" si="9"/>
        <v>1.0240000000000001E-17</v>
      </c>
      <c r="M55" s="22">
        <f t="shared" si="10"/>
        <v>2.0480000000000006E-19</v>
      </c>
      <c r="N55" s="22">
        <f t="shared" si="11"/>
        <v>4.0960000000000004E-21</v>
      </c>
      <c r="O55" s="22">
        <f t="shared" si="12"/>
        <v>8.1920000000000015E-23</v>
      </c>
    </row>
    <row r="56" spans="1:15" ht="15" x14ac:dyDescent="0.25">
      <c r="A56" s="22">
        <f t="shared" si="13"/>
        <v>3</v>
      </c>
      <c r="B56" s="22">
        <v>1</v>
      </c>
      <c r="C56" s="22">
        <f t="shared" si="0"/>
        <v>0.03</v>
      </c>
      <c r="D56" s="22">
        <f t="shared" si="1"/>
        <v>8.9999999999999998E-4</v>
      </c>
      <c r="E56" s="22">
        <f t="shared" si="2"/>
        <v>2.6999999999999999E-5</v>
      </c>
      <c r="F56" s="22">
        <f t="shared" si="3"/>
        <v>8.0999999999999997E-7</v>
      </c>
      <c r="G56" s="22">
        <f t="shared" si="4"/>
        <v>2.4299999999999999E-8</v>
      </c>
      <c r="H56" s="22">
        <f t="shared" si="5"/>
        <v>7.2899999999999996E-10</v>
      </c>
      <c r="I56" s="22">
        <f t="shared" si="6"/>
        <v>2.1869999999999998E-11</v>
      </c>
      <c r="J56" s="22">
        <f t="shared" si="7"/>
        <v>6.561E-13</v>
      </c>
      <c r="K56" s="22">
        <f t="shared" si="8"/>
        <v>1.9683000000000001E-14</v>
      </c>
      <c r="L56" s="22">
        <f t="shared" si="9"/>
        <v>5.9048999999999996E-16</v>
      </c>
      <c r="M56" s="22">
        <f t="shared" si="10"/>
        <v>1.77147E-17</v>
      </c>
      <c r="N56" s="22">
        <f t="shared" si="11"/>
        <v>5.3144099999999994E-19</v>
      </c>
      <c r="O56" s="22">
        <f t="shared" si="12"/>
        <v>1.594323E-20</v>
      </c>
    </row>
    <row r="57" spans="1:15" ht="15" x14ac:dyDescent="0.25">
      <c r="A57" s="22">
        <f t="shared" si="13"/>
        <v>4</v>
      </c>
      <c r="B57" s="22">
        <v>1</v>
      </c>
      <c r="C57" s="22">
        <f t="shared" si="0"/>
        <v>0.04</v>
      </c>
      <c r="D57" s="22">
        <f t="shared" si="1"/>
        <v>1.6000000000000001E-3</v>
      </c>
      <c r="E57" s="22">
        <f t="shared" si="2"/>
        <v>6.4000000000000011E-5</v>
      </c>
      <c r="F57" s="22">
        <f t="shared" si="3"/>
        <v>2.5600000000000001E-6</v>
      </c>
      <c r="G57" s="22">
        <f t="shared" si="4"/>
        <v>1.024E-7</v>
      </c>
      <c r="H57" s="22">
        <f t="shared" si="5"/>
        <v>4.0959999999999999E-9</v>
      </c>
      <c r="I57" s="22">
        <f t="shared" si="6"/>
        <v>1.6384000000000003E-10</v>
      </c>
      <c r="J57" s="22">
        <f t="shared" si="7"/>
        <v>6.5536000000000007E-12</v>
      </c>
      <c r="K57" s="22">
        <f t="shared" si="8"/>
        <v>2.6214400000000002E-13</v>
      </c>
      <c r="L57" s="22">
        <f t="shared" si="9"/>
        <v>1.0485760000000001E-14</v>
      </c>
      <c r="M57" s="22">
        <f t="shared" si="10"/>
        <v>4.1943040000000012E-16</v>
      </c>
      <c r="N57" s="22">
        <f t="shared" si="11"/>
        <v>1.6777216000000002E-17</v>
      </c>
      <c r="O57" s="22">
        <f t="shared" si="12"/>
        <v>6.7108864000000012E-19</v>
      </c>
    </row>
    <row r="58" spans="1:15" ht="15" x14ac:dyDescent="0.25">
      <c r="A58" s="22">
        <f t="shared" si="13"/>
        <v>5</v>
      </c>
      <c r="B58" s="22">
        <v>1</v>
      </c>
      <c r="C58" s="22">
        <f t="shared" si="0"/>
        <v>0.05</v>
      </c>
      <c r="D58" s="22">
        <f t="shared" si="1"/>
        <v>2.5000000000000005E-3</v>
      </c>
      <c r="E58" s="22">
        <f t="shared" si="2"/>
        <v>1.2500000000000003E-4</v>
      </c>
      <c r="F58" s="22">
        <f t="shared" si="3"/>
        <v>6.2500000000000028E-6</v>
      </c>
      <c r="G58" s="22">
        <f t="shared" si="4"/>
        <v>3.1250000000000018E-7</v>
      </c>
      <c r="H58" s="22">
        <f t="shared" si="5"/>
        <v>1.5625000000000009E-8</v>
      </c>
      <c r="I58" s="22">
        <f t="shared" si="6"/>
        <v>7.8125000000000059E-10</v>
      </c>
      <c r="J58" s="22">
        <f t="shared" si="7"/>
        <v>3.9062500000000033E-11</v>
      </c>
      <c r="K58" s="22">
        <f t="shared" si="8"/>
        <v>1.9531250000000017E-12</v>
      </c>
      <c r="L58" s="22">
        <f t="shared" si="9"/>
        <v>9.7656250000000105E-14</v>
      </c>
      <c r="M58" s="22">
        <f t="shared" si="10"/>
        <v>4.8828125000000052E-15</v>
      </c>
      <c r="N58" s="22">
        <f t="shared" si="11"/>
        <v>2.4414062500000034E-16</v>
      </c>
      <c r="O58" s="22">
        <f t="shared" si="12"/>
        <v>1.2207031250000017E-17</v>
      </c>
    </row>
    <row r="59" spans="1:15" ht="15" x14ac:dyDescent="0.25">
      <c r="A59" s="22">
        <f t="shared" si="13"/>
        <v>6</v>
      </c>
      <c r="B59" s="22">
        <v>1</v>
      </c>
      <c r="C59" s="22">
        <f t="shared" si="0"/>
        <v>0.06</v>
      </c>
      <c r="D59" s="22">
        <f t="shared" si="1"/>
        <v>3.5999999999999999E-3</v>
      </c>
      <c r="E59" s="22">
        <f t="shared" si="2"/>
        <v>2.1599999999999999E-4</v>
      </c>
      <c r="F59" s="22">
        <f t="shared" si="3"/>
        <v>1.296E-5</v>
      </c>
      <c r="G59" s="22">
        <f t="shared" si="4"/>
        <v>7.7759999999999997E-7</v>
      </c>
      <c r="H59" s="22">
        <f t="shared" si="5"/>
        <v>4.6655999999999998E-8</v>
      </c>
      <c r="I59" s="22">
        <f t="shared" si="6"/>
        <v>2.7993599999999997E-9</v>
      </c>
      <c r="J59" s="22">
        <f t="shared" si="7"/>
        <v>1.679616E-10</v>
      </c>
      <c r="K59" s="22">
        <f t="shared" si="8"/>
        <v>1.0077696E-11</v>
      </c>
      <c r="L59" s="22">
        <f t="shared" si="9"/>
        <v>6.0466175999999996E-13</v>
      </c>
      <c r="M59" s="22">
        <f t="shared" si="10"/>
        <v>3.62797056E-14</v>
      </c>
      <c r="N59" s="22">
        <f t="shared" si="11"/>
        <v>2.1767823359999997E-15</v>
      </c>
      <c r="O59" s="22">
        <f t="shared" si="12"/>
        <v>1.3060694016E-16</v>
      </c>
    </row>
    <row r="60" spans="1:15" ht="15" x14ac:dyDescent="0.25">
      <c r="A60" s="22">
        <f t="shared" si="13"/>
        <v>7</v>
      </c>
      <c r="B60" s="22">
        <v>1</v>
      </c>
      <c r="C60" s="22">
        <f t="shared" si="0"/>
        <v>7.0000000000000007E-2</v>
      </c>
      <c r="D60" s="22">
        <f t="shared" si="1"/>
        <v>4.9000000000000007E-3</v>
      </c>
      <c r="E60" s="22">
        <f t="shared" si="2"/>
        <v>3.430000000000001E-4</v>
      </c>
      <c r="F60" s="22">
        <f t="shared" si="3"/>
        <v>2.4010000000000006E-5</v>
      </c>
      <c r="G60" s="22">
        <f t="shared" si="4"/>
        <v>1.6807000000000005E-6</v>
      </c>
      <c r="H60" s="22">
        <f t="shared" si="5"/>
        <v>1.1764900000000005E-7</v>
      </c>
      <c r="I60" s="22">
        <f t="shared" si="6"/>
        <v>8.2354300000000037E-9</v>
      </c>
      <c r="J60" s="22">
        <f t="shared" si="7"/>
        <v>5.764801000000003E-10</v>
      </c>
      <c r="K60" s="22">
        <f t="shared" si="8"/>
        <v>4.0353607000000022E-11</v>
      </c>
      <c r="L60" s="22">
        <f t="shared" si="9"/>
        <v>2.8247524900000018E-12</v>
      </c>
      <c r="M60" s="22">
        <f t="shared" si="10"/>
        <v>1.9773267430000016E-13</v>
      </c>
      <c r="N60" s="22">
        <f t="shared" si="11"/>
        <v>1.384128720100001E-14</v>
      </c>
      <c r="O60" s="22">
        <f t="shared" si="12"/>
        <v>9.6889010407000087E-16</v>
      </c>
    </row>
    <row r="61" spans="1:15" ht="15" x14ac:dyDescent="0.25">
      <c r="A61" s="22">
        <f t="shared" si="13"/>
        <v>8</v>
      </c>
      <c r="B61" s="22">
        <v>1</v>
      </c>
      <c r="C61" s="22">
        <f t="shared" si="0"/>
        <v>0.08</v>
      </c>
      <c r="D61" s="22">
        <f t="shared" si="1"/>
        <v>6.4000000000000003E-3</v>
      </c>
      <c r="E61" s="22">
        <f t="shared" si="2"/>
        <v>5.1200000000000009E-4</v>
      </c>
      <c r="F61" s="22">
        <f t="shared" si="3"/>
        <v>4.0960000000000001E-5</v>
      </c>
      <c r="G61" s="22">
        <f t="shared" si="4"/>
        <v>3.2768000000000001E-6</v>
      </c>
      <c r="H61" s="22">
        <f t="shared" si="5"/>
        <v>2.6214399999999999E-7</v>
      </c>
      <c r="I61" s="22">
        <f t="shared" si="6"/>
        <v>2.0971520000000003E-8</v>
      </c>
      <c r="J61" s="22">
        <f t="shared" si="7"/>
        <v>1.6777216000000002E-9</v>
      </c>
      <c r="K61" s="22">
        <f t="shared" si="8"/>
        <v>1.3421772800000001E-10</v>
      </c>
      <c r="L61" s="22">
        <f t="shared" si="9"/>
        <v>1.0737418240000001E-11</v>
      </c>
      <c r="M61" s="22">
        <f t="shared" si="10"/>
        <v>8.5899345920000024E-13</v>
      </c>
      <c r="N61" s="22">
        <f t="shared" si="11"/>
        <v>6.8719476736000007E-14</v>
      </c>
      <c r="O61" s="22">
        <f t="shared" si="12"/>
        <v>5.497558138880001E-15</v>
      </c>
    </row>
    <row r="62" spans="1:15" ht="15" x14ac:dyDescent="0.25">
      <c r="A62" s="22">
        <f t="shared" si="13"/>
        <v>9</v>
      </c>
      <c r="B62" s="22">
        <v>1</v>
      </c>
      <c r="C62" s="22">
        <f t="shared" si="0"/>
        <v>0.09</v>
      </c>
      <c r="D62" s="22">
        <f t="shared" si="1"/>
        <v>8.0999999999999996E-3</v>
      </c>
      <c r="E62" s="22">
        <f t="shared" si="2"/>
        <v>7.2899999999999994E-4</v>
      </c>
      <c r="F62" s="22">
        <f t="shared" si="3"/>
        <v>6.560999999999999E-5</v>
      </c>
      <c r="G62" s="22">
        <f t="shared" si="4"/>
        <v>5.9048999999999991E-6</v>
      </c>
      <c r="H62" s="22">
        <f t="shared" si="5"/>
        <v>5.3144099999999987E-7</v>
      </c>
      <c r="I62" s="22">
        <f t="shared" si="6"/>
        <v>4.7829689999999986E-8</v>
      </c>
      <c r="J62" s="22">
        <f t="shared" si="7"/>
        <v>4.3046720999999984E-9</v>
      </c>
      <c r="K62" s="22">
        <f t="shared" si="8"/>
        <v>3.8742048899999985E-10</v>
      </c>
      <c r="L62" s="22">
        <f t="shared" si="9"/>
        <v>3.4867844009999988E-11</v>
      </c>
      <c r="M62" s="22">
        <f t="shared" si="10"/>
        <v>3.1381059608999984E-12</v>
      </c>
      <c r="N62" s="22">
        <f t="shared" si="11"/>
        <v>2.8242953648099984E-13</v>
      </c>
      <c r="O62" s="22">
        <f t="shared" si="12"/>
        <v>2.5418658283289988E-14</v>
      </c>
    </row>
    <row r="63" spans="1:15" ht="15" x14ac:dyDescent="0.25">
      <c r="A63" s="22">
        <f t="shared" si="13"/>
        <v>10</v>
      </c>
      <c r="B63" s="22">
        <v>1</v>
      </c>
      <c r="C63" s="22">
        <f t="shared" si="0"/>
        <v>0.1</v>
      </c>
      <c r="D63" s="22">
        <f t="shared" si="1"/>
        <v>1.0000000000000002E-2</v>
      </c>
      <c r="E63" s="22">
        <f t="shared" si="2"/>
        <v>1.0000000000000002E-3</v>
      </c>
      <c r="F63" s="22">
        <f t="shared" si="3"/>
        <v>1.0000000000000005E-4</v>
      </c>
      <c r="G63" s="22">
        <f t="shared" si="4"/>
        <v>1.0000000000000006E-5</v>
      </c>
      <c r="H63" s="22">
        <f t="shared" si="5"/>
        <v>1.0000000000000006E-6</v>
      </c>
      <c r="I63" s="22">
        <f t="shared" si="6"/>
        <v>1.0000000000000007E-7</v>
      </c>
      <c r="J63" s="22">
        <f t="shared" si="7"/>
        <v>1.0000000000000008E-8</v>
      </c>
      <c r="K63" s="22">
        <f t="shared" si="8"/>
        <v>1.0000000000000009E-9</v>
      </c>
      <c r="L63" s="22">
        <f t="shared" si="9"/>
        <v>1.0000000000000011E-10</v>
      </c>
      <c r="M63" s="22">
        <f t="shared" si="10"/>
        <v>1.0000000000000011E-11</v>
      </c>
      <c r="N63" s="22">
        <f t="shared" si="11"/>
        <v>1.0000000000000014E-12</v>
      </c>
      <c r="O63" s="22">
        <f t="shared" si="12"/>
        <v>1.0000000000000014E-13</v>
      </c>
    </row>
    <row r="64" spans="1:15" ht="15" x14ac:dyDescent="0.25">
      <c r="A64" s="22">
        <f t="shared" si="13"/>
        <v>11</v>
      </c>
      <c r="B64" s="22">
        <v>1</v>
      </c>
      <c r="C64" s="22">
        <f t="shared" si="0"/>
        <v>0.11</v>
      </c>
      <c r="D64" s="22">
        <f t="shared" si="1"/>
        <v>1.21E-2</v>
      </c>
      <c r="E64" s="22">
        <f t="shared" si="2"/>
        <v>1.3309999999999999E-3</v>
      </c>
      <c r="F64" s="22">
        <f t="shared" si="3"/>
        <v>1.4641E-4</v>
      </c>
      <c r="G64" s="22">
        <f t="shared" si="4"/>
        <v>1.6105099999999999E-5</v>
      </c>
      <c r="H64" s="22">
        <f t="shared" si="5"/>
        <v>1.7715609999999999E-6</v>
      </c>
      <c r="I64" s="22">
        <f t="shared" si="6"/>
        <v>1.9487171000000001E-7</v>
      </c>
      <c r="J64" s="22">
        <f t="shared" si="7"/>
        <v>2.14358881E-8</v>
      </c>
      <c r="K64" s="22">
        <f t="shared" si="8"/>
        <v>2.3579476910000001E-9</v>
      </c>
      <c r="L64" s="22">
        <f t="shared" si="9"/>
        <v>2.5937424600999998E-10</v>
      </c>
      <c r="M64" s="22">
        <f t="shared" si="10"/>
        <v>2.8531167061099999E-11</v>
      </c>
      <c r="N64" s="22">
        <f t="shared" si="11"/>
        <v>3.138428376721E-12</v>
      </c>
      <c r="O64" s="22">
        <f t="shared" si="12"/>
        <v>3.4522712143930996E-13</v>
      </c>
    </row>
    <row r="65" spans="1:15" ht="15" x14ac:dyDescent="0.25">
      <c r="A65" s="22">
        <f t="shared" si="13"/>
        <v>12</v>
      </c>
      <c r="B65" s="22">
        <v>1</v>
      </c>
      <c r="C65" s="22">
        <f t="shared" si="0"/>
        <v>0.12</v>
      </c>
      <c r="D65" s="22">
        <f t="shared" si="1"/>
        <v>1.44E-2</v>
      </c>
      <c r="E65" s="22">
        <f t="shared" si="2"/>
        <v>1.7279999999999999E-3</v>
      </c>
      <c r="F65" s="22">
        <f t="shared" si="3"/>
        <v>2.0735999999999999E-4</v>
      </c>
      <c r="G65" s="22">
        <f t="shared" si="4"/>
        <v>2.4883199999999999E-5</v>
      </c>
      <c r="H65" s="22">
        <f t="shared" si="5"/>
        <v>2.9859839999999999E-6</v>
      </c>
      <c r="I65" s="22">
        <f t="shared" si="6"/>
        <v>3.5831807999999997E-7</v>
      </c>
      <c r="J65" s="22">
        <f t="shared" si="7"/>
        <v>4.29981696E-8</v>
      </c>
      <c r="K65" s="22">
        <f t="shared" si="8"/>
        <v>5.1597803520000001E-9</v>
      </c>
      <c r="L65" s="22">
        <f t="shared" si="9"/>
        <v>6.1917364223999996E-10</v>
      </c>
      <c r="M65" s="22">
        <f t="shared" si="10"/>
        <v>7.4300837068800001E-11</v>
      </c>
      <c r="N65" s="22">
        <f t="shared" si="11"/>
        <v>8.9161004482559989E-12</v>
      </c>
      <c r="O65" s="22">
        <f t="shared" si="12"/>
        <v>1.06993205379072E-12</v>
      </c>
    </row>
    <row r="66" spans="1:15" ht="15" x14ac:dyDescent="0.25">
      <c r="A66" s="22">
        <f t="shared" si="13"/>
        <v>13</v>
      </c>
      <c r="B66" s="22">
        <v>1</v>
      </c>
      <c r="C66" s="22">
        <f t="shared" si="0"/>
        <v>0.13</v>
      </c>
      <c r="D66" s="22">
        <f t="shared" si="1"/>
        <v>1.6900000000000002E-2</v>
      </c>
      <c r="E66" s="22">
        <f t="shared" si="2"/>
        <v>2.1970000000000002E-3</v>
      </c>
      <c r="F66" s="22">
        <f t="shared" si="3"/>
        <v>2.8561000000000005E-4</v>
      </c>
      <c r="G66" s="22">
        <f t="shared" si="4"/>
        <v>3.7129300000000011E-5</v>
      </c>
      <c r="H66" s="22">
        <f t="shared" si="5"/>
        <v>4.8268090000000014E-6</v>
      </c>
      <c r="I66" s="22">
        <f t="shared" si="6"/>
        <v>6.2748517000000012E-7</v>
      </c>
      <c r="J66" s="22">
        <f t="shared" si="7"/>
        <v>8.157307210000003E-8</v>
      </c>
      <c r="K66" s="22">
        <f t="shared" si="8"/>
        <v>1.0604499373000005E-8</v>
      </c>
      <c r="L66" s="22">
        <f t="shared" si="9"/>
        <v>1.3785849184900006E-9</v>
      </c>
      <c r="M66" s="22">
        <f t="shared" si="10"/>
        <v>1.7921603940370007E-10</v>
      </c>
      <c r="N66" s="22">
        <f t="shared" si="11"/>
        <v>2.3298085122481014E-11</v>
      </c>
      <c r="O66" s="22">
        <f t="shared" si="12"/>
        <v>3.0287510659225319E-12</v>
      </c>
    </row>
    <row r="67" spans="1:15" ht="15" x14ac:dyDescent="0.25">
      <c r="A67" s="22">
        <f t="shared" si="13"/>
        <v>14</v>
      </c>
      <c r="B67" s="22">
        <v>1</v>
      </c>
      <c r="C67" s="22">
        <f t="shared" si="0"/>
        <v>0.14000000000000001</v>
      </c>
      <c r="D67" s="22">
        <f t="shared" si="1"/>
        <v>1.9600000000000003E-2</v>
      </c>
      <c r="E67" s="22">
        <f t="shared" si="2"/>
        <v>2.7440000000000008E-3</v>
      </c>
      <c r="F67" s="22">
        <f t="shared" si="3"/>
        <v>3.8416000000000009E-4</v>
      </c>
      <c r="G67" s="22">
        <f t="shared" si="4"/>
        <v>5.3782400000000016E-5</v>
      </c>
      <c r="H67" s="22">
        <f t="shared" si="5"/>
        <v>7.5295360000000032E-6</v>
      </c>
      <c r="I67" s="22">
        <f t="shared" si="6"/>
        <v>1.0541350400000005E-6</v>
      </c>
      <c r="J67" s="22">
        <f t="shared" si="7"/>
        <v>1.4757890560000008E-7</v>
      </c>
      <c r="K67" s="22">
        <f t="shared" si="8"/>
        <v>2.0661046784000011E-8</v>
      </c>
      <c r="L67" s="22">
        <f t="shared" si="9"/>
        <v>2.8925465497600019E-9</v>
      </c>
      <c r="M67" s="22">
        <f t="shared" si="10"/>
        <v>4.0495651696640033E-10</v>
      </c>
      <c r="N67" s="22">
        <f t="shared" si="11"/>
        <v>5.6693912375296041E-11</v>
      </c>
      <c r="O67" s="22">
        <f t="shared" si="12"/>
        <v>7.9371477325414471E-12</v>
      </c>
    </row>
    <row r="68" spans="1:15" ht="15" x14ac:dyDescent="0.25">
      <c r="A68" s="22">
        <f t="shared" si="13"/>
        <v>15</v>
      </c>
      <c r="B68" s="22">
        <v>1</v>
      </c>
      <c r="C68" s="22">
        <f t="shared" si="0"/>
        <v>0.15</v>
      </c>
      <c r="D68" s="22">
        <f t="shared" si="1"/>
        <v>2.2499999999999999E-2</v>
      </c>
      <c r="E68" s="22">
        <f t="shared" si="2"/>
        <v>3.375E-3</v>
      </c>
      <c r="F68" s="22">
        <f t="shared" si="3"/>
        <v>5.0624999999999997E-4</v>
      </c>
      <c r="G68" s="22">
        <f t="shared" si="4"/>
        <v>7.5937499999999996E-5</v>
      </c>
      <c r="H68" s="22">
        <f t="shared" si="5"/>
        <v>1.1390624999999999E-5</v>
      </c>
      <c r="I68" s="22">
        <f t="shared" si="6"/>
        <v>1.7085937499999998E-6</v>
      </c>
      <c r="J68" s="22">
        <f t="shared" si="7"/>
        <v>2.5628906249999996E-7</v>
      </c>
      <c r="K68" s="22">
        <f t="shared" si="8"/>
        <v>3.8443359374999996E-8</v>
      </c>
      <c r="L68" s="22">
        <f t="shared" si="9"/>
        <v>5.7665039062499992E-9</v>
      </c>
      <c r="M68" s="22">
        <f t="shared" si="10"/>
        <v>8.6497558593749985E-10</v>
      </c>
      <c r="N68" s="22">
        <f t="shared" si="11"/>
        <v>1.2974633789062497E-10</v>
      </c>
      <c r="O68" s="22">
        <f t="shared" si="12"/>
        <v>1.9461950683593746E-11</v>
      </c>
    </row>
    <row r="69" spans="1:15" ht="15" x14ac:dyDescent="0.25">
      <c r="A69" s="22">
        <f t="shared" si="13"/>
        <v>16</v>
      </c>
      <c r="B69" s="22">
        <v>1</v>
      </c>
      <c r="C69" s="22">
        <f t="shared" si="0"/>
        <v>0.16</v>
      </c>
      <c r="D69" s="22">
        <f t="shared" si="1"/>
        <v>2.5600000000000001E-2</v>
      </c>
      <c r="E69" s="22">
        <f t="shared" si="2"/>
        <v>4.0960000000000007E-3</v>
      </c>
      <c r="F69" s="22">
        <f t="shared" si="3"/>
        <v>6.5536000000000001E-4</v>
      </c>
      <c r="G69" s="22">
        <f t="shared" si="4"/>
        <v>1.048576E-4</v>
      </c>
      <c r="H69" s="22">
        <f t="shared" si="5"/>
        <v>1.6777216E-5</v>
      </c>
      <c r="I69" s="22">
        <f t="shared" si="6"/>
        <v>2.6843545600000004E-6</v>
      </c>
      <c r="J69" s="22">
        <f t="shared" si="7"/>
        <v>4.2949672960000004E-7</v>
      </c>
      <c r="K69" s="22">
        <f t="shared" si="8"/>
        <v>6.8719476736000005E-8</v>
      </c>
      <c r="L69" s="22">
        <f t="shared" si="9"/>
        <v>1.0995116277760001E-8</v>
      </c>
      <c r="M69" s="22">
        <f t="shared" si="10"/>
        <v>1.7592186044416005E-9</v>
      </c>
      <c r="N69" s="22">
        <f t="shared" si="11"/>
        <v>2.8147497671065603E-10</v>
      </c>
      <c r="O69" s="22">
        <f t="shared" si="12"/>
        <v>4.5035996273704968E-11</v>
      </c>
    </row>
    <row r="70" spans="1:15" ht="15" x14ac:dyDescent="0.25">
      <c r="A70" s="22">
        <f t="shared" si="13"/>
        <v>17</v>
      </c>
      <c r="B70" s="22">
        <v>1</v>
      </c>
      <c r="C70" s="22">
        <f t="shared" si="0"/>
        <v>0.17</v>
      </c>
      <c r="D70" s="22">
        <f t="shared" si="1"/>
        <v>2.8900000000000006E-2</v>
      </c>
      <c r="E70" s="22">
        <f t="shared" si="2"/>
        <v>4.9130000000000016E-3</v>
      </c>
      <c r="F70" s="22">
        <f t="shared" si="3"/>
        <v>8.3521000000000029E-4</v>
      </c>
      <c r="G70" s="22">
        <f t="shared" si="4"/>
        <v>1.4198570000000007E-4</v>
      </c>
      <c r="H70" s="22">
        <f t="shared" si="5"/>
        <v>2.4137569000000013E-5</v>
      </c>
      <c r="I70" s="22">
        <f t="shared" si="6"/>
        <v>4.1033867300000029E-6</v>
      </c>
      <c r="J70" s="22">
        <f t="shared" si="7"/>
        <v>6.9757574410000049E-7</v>
      </c>
      <c r="K70" s="22">
        <f t="shared" si="8"/>
        <v>1.1858787649700009E-7</v>
      </c>
      <c r="L70" s="22">
        <f t="shared" si="9"/>
        <v>2.0159939004490019E-8</v>
      </c>
      <c r="M70" s="22">
        <f t="shared" si="10"/>
        <v>3.4271896307633035E-9</v>
      </c>
      <c r="N70" s="22">
        <f t="shared" si="11"/>
        <v>5.8262223722976163E-10</v>
      </c>
      <c r="O70" s="22">
        <f t="shared" si="12"/>
        <v>9.9045780329059482E-11</v>
      </c>
    </row>
    <row r="71" spans="1:15" ht="15" x14ac:dyDescent="0.25">
      <c r="A71" s="22">
        <f t="shared" si="13"/>
        <v>18</v>
      </c>
      <c r="B71" s="22">
        <v>1</v>
      </c>
      <c r="C71" s="22">
        <f t="shared" si="0"/>
        <v>0.18</v>
      </c>
      <c r="D71" s="22">
        <f t="shared" si="1"/>
        <v>3.2399999999999998E-2</v>
      </c>
      <c r="E71" s="22">
        <f t="shared" si="2"/>
        <v>5.8319999999999995E-3</v>
      </c>
      <c r="F71" s="22">
        <f t="shared" si="3"/>
        <v>1.0497599999999998E-3</v>
      </c>
      <c r="G71" s="22">
        <f t="shared" si="4"/>
        <v>1.8895679999999997E-4</v>
      </c>
      <c r="H71" s="22">
        <f t="shared" si="5"/>
        <v>3.4012223999999992E-5</v>
      </c>
      <c r="I71" s="22">
        <f t="shared" si="6"/>
        <v>6.1222003199999982E-6</v>
      </c>
      <c r="J71" s="22">
        <f t="shared" si="7"/>
        <v>1.1019960575999996E-6</v>
      </c>
      <c r="K71" s="22">
        <f t="shared" si="8"/>
        <v>1.9835929036799993E-7</v>
      </c>
      <c r="L71" s="22">
        <f t="shared" si="9"/>
        <v>3.5704672266239987E-8</v>
      </c>
      <c r="M71" s="22">
        <f t="shared" si="10"/>
        <v>6.4268410079231967E-9</v>
      </c>
      <c r="N71" s="22">
        <f t="shared" si="11"/>
        <v>1.1568313814261754E-9</v>
      </c>
      <c r="O71" s="22">
        <f t="shared" si="12"/>
        <v>2.0822964865671158E-10</v>
      </c>
    </row>
    <row r="72" spans="1:15" ht="15" x14ac:dyDescent="0.25">
      <c r="A72" s="22">
        <f t="shared" si="13"/>
        <v>19</v>
      </c>
      <c r="B72" s="22">
        <v>1</v>
      </c>
      <c r="C72" s="22">
        <f t="shared" si="0"/>
        <v>0.19</v>
      </c>
      <c r="D72" s="22">
        <f t="shared" si="1"/>
        <v>3.61E-2</v>
      </c>
      <c r="E72" s="22">
        <f t="shared" si="2"/>
        <v>6.8590000000000005E-3</v>
      </c>
      <c r="F72" s="22">
        <f t="shared" si="3"/>
        <v>1.30321E-3</v>
      </c>
      <c r="G72" s="22">
        <f t="shared" si="4"/>
        <v>2.4760990000000002E-4</v>
      </c>
      <c r="H72" s="22">
        <f t="shared" si="5"/>
        <v>4.7045880999999998E-5</v>
      </c>
      <c r="I72" s="22">
        <f t="shared" si="6"/>
        <v>8.9387173900000011E-6</v>
      </c>
      <c r="J72" s="22">
        <f t="shared" si="7"/>
        <v>1.6983563040999999E-6</v>
      </c>
      <c r="K72" s="22">
        <f t="shared" si="8"/>
        <v>3.22687697779E-7</v>
      </c>
      <c r="L72" s="22">
        <f t="shared" si="9"/>
        <v>6.1310662578009993E-8</v>
      </c>
      <c r="M72" s="22">
        <f t="shared" si="10"/>
        <v>1.1649025889821901E-8</v>
      </c>
      <c r="N72" s="22">
        <f t="shared" si="11"/>
        <v>2.2133149190661607E-9</v>
      </c>
      <c r="O72" s="22">
        <f t="shared" si="12"/>
        <v>4.205298346225706E-10</v>
      </c>
    </row>
    <row r="73" spans="1:15" ht="15" x14ac:dyDescent="0.25">
      <c r="A73" s="22">
        <f t="shared" si="13"/>
        <v>20</v>
      </c>
      <c r="B73" s="22">
        <v>1</v>
      </c>
      <c r="C73" s="22">
        <f t="shared" si="0"/>
        <v>0.2</v>
      </c>
      <c r="D73" s="22">
        <f t="shared" si="1"/>
        <v>4.0000000000000008E-2</v>
      </c>
      <c r="E73" s="22">
        <f t="shared" si="2"/>
        <v>8.0000000000000019E-3</v>
      </c>
      <c r="F73" s="22">
        <f t="shared" si="3"/>
        <v>1.6000000000000007E-3</v>
      </c>
      <c r="G73" s="22">
        <f t="shared" si="4"/>
        <v>3.2000000000000019E-4</v>
      </c>
      <c r="H73" s="22">
        <f t="shared" si="5"/>
        <v>6.4000000000000038E-5</v>
      </c>
      <c r="I73" s="22">
        <f t="shared" si="6"/>
        <v>1.280000000000001E-5</v>
      </c>
      <c r="J73" s="22">
        <f t="shared" si="7"/>
        <v>2.5600000000000022E-6</v>
      </c>
      <c r="K73" s="22">
        <f t="shared" si="8"/>
        <v>5.1200000000000046E-7</v>
      </c>
      <c r="L73" s="22">
        <f t="shared" si="9"/>
        <v>1.0240000000000011E-7</v>
      </c>
      <c r="M73" s="22">
        <f t="shared" si="10"/>
        <v>2.0480000000000022E-8</v>
      </c>
      <c r="N73" s="22">
        <f t="shared" si="11"/>
        <v>4.0960000000000057E-9</v>
      </c>
      <c r="O73" s="22">
        <f t="shared" si="12"/>
        <v>8.1920000000000116E-10</v>
      </c>
    </row>
    <row r="74" spans="1:15" ht="15" x14ac:dyDescent="0.25">
      <c r="A74" s="22">
        <f t="shared" si="13"/>
        <v>21</v>
      </c>
      <c r="B74" s="22">
        <v>1</v>
      </c>
      <c r="C74" s="22">
        <f t="shared" si="0"/>
        <v>0.21</v>
      </c>
      <c r="D74" s="22">
        <f t="shared" si="1"/>
        <v>4.4099999999999993E-2</v>
      </c>
      <c r="E74" s="22">
        <f t="shared" si="2"/>
        <v>9.2609999999999984E-3</v>
      </c>
      <c r="F74" s="22">
        <f t="shared" si="3"/>
        <v>1.9448099999999995E-3</v>
      </c>
      <c r="G74" s="22">
        <f t="shared" si="4"/>
        <v>4.0841009999999987E-4</v>
      </c>
      <c r="H74" s="22">
        <f t="shared" si="5"/>
        <v>8.5766120999999969E-5</v>
      </c>
      <c r="I74" s="22">
        <f t="shared" si="6"/>
        <v>1.8010885409999992E-5</v>
      </c>
      <c r="J74" s="22">
        <f t="shared" si="7"/>
        <v>3.7822859360999982E-6</v>
      </c>
      <c r="K74" s="22">
        <f t="shared" si="8"/>
        <v>7.9428004658099959E-7</v>
      </c>
      <c r="L74" s="22">
        <f t="shared" si="9"/>
        <v>1.6679880978200989E-7</v>
      </c>
      <c r="M74" s="22">
        <f t="shared" si="10"/>
        <v>3.5027750054222074E-8</v>
      </c>
      <c r="N74" s="22">
        <f t="shared" si="11"/>
        <v>7.3558275113866352E-9</v>
      </c>
      <c r="O74" s="22">
        <f t="shared" si="12"/>
        <v>1.5447237773911934E-9</v>
      </c>
    </row>
    <row r="75" spans="1:15" ht="15" x14ac:dyDescent="0.25">
      <c r="A75" s="22">
        <f t="shared" si="13"/>
        <v>22</v>
      </c>
      <c r="B75" s="22">
        <v>1</v>
      </c>
      <c r="C75" s="22">
        <f t="shared" si="0"/>
        <v>0.22</v>
      </c>
      <c r="D75" s="22">
        <f t="shared" si="1"/>
        <v>4.8399999999999999E-2</v>
      </c>
      <c r="E75" s="22">
        <f t="shared" si="2"/>
        <v>1.0647999999999999E-2</v>
      </c>
      <c r="F75" s="22">
        <f t="shared" si="3"/>
        <v>2.34256E-3</v>
      </c>
      <c r="G75" s="22">
        <f t="shared" si="4"/>
        <v>5.1536319999999998E-4</v>
      </c>
      <c r="H75" s="22">
        <f t="shared" si="5"/>
        <v>1.1337990399999999E-4</v>
      </c>
      <c r="I75" s="22">
        <f t="shared" si="6"/>
        <v>2.4943578880000001E-5</v>
      </c>
      <c r="J75" s="22">
        <f t="shared" si="7"/>
        <v>5.4875873536E-6</v>
      </c>
      <c r="K75" s="22">
        <f t="shared" si="8"/>
        <v>1.2072692177920001E-6</v>
      </c>
      <c r="L75" s="22">
        <f t="shared" si="9"/>
        <v>2.6559922791423998E-7</v>
      </c>
      <c r="M75" s="22">
        <f t="shared" si="10"/>
        <v>5.8431830141132797E-8</v>
      </c>
      <c r="N75" s="22">
        <f t="shared" si="11"/>
        <v>1.2855002631049216E-8</v>
      </c>
      <c r="O75" s="22">
        <f t="shared" si="12"/>
        <v>2.8281005788308272E-9</v>
      </c>
    </row>
    <row r="76" spans="1:15" ht="15" x14ac:dyDescent="0.25">
      <c r="A76" s="22">
        <f t="shared" si="13"/>
        <v>23</v>
      </c>
      <c r="B76" s="22">
        <v>1</v>
      </c>
      <c r="C76" s="22">
        <f t="shared" si="0"/>
        <v>0.23</v>
      </c>
      <c r="D76" s="22">
        <f t="shared" si="1"/>
        <v>5.2900000000000003E-2</v>
      </c>
      <c r="E76" s="22">
        <f t="shared" si="2"/>
        <v>1.2167000000000001E-2</v>
      </c>
      <c r="F76" s="22">
        <f t="shared" si="3"/>
        <v>2.7984100000000003E-3</v>
      </c>
      <c r="G76" s="22">
        <f t="shared" si="4"/>
        <v>6.4363430000000013E-4</v>
      </c>
      <c r="H76" s="22">
        <f t="shared" si="5"/>
        <v>1.4803588900000003E-4</v>
      </c>
      <c r="I76" s="22">
        <f t="shared" si="6"/>
        <v>3.4048254470000007E-5</v>
      </c>
      <c r="J76" s="22">
        <f t="shared" si="7"/>
        <v>7.8310985281000024E-6</v>
      </c>
      <c r="K76" s="22">
        <f t="shared" si="8"/>
        <v>1.8011526614630006E-6</v>
      </c>
      <c r="L76" s="22">
        <f t="shared" si="9"/>
        <v>4.1426511213649017E-7</v>
      </c>
      <c r="M76" s="22">
        <f t="shared" si="10"/>
        <v>9.5280975791392736E-8</v>
      </c>
      <c r="N76" s="22">
        <f t="shared" si="11"/>
        <v>2.1914624432020331E-8</v>
      </c>
      <c r="O76" s="22">
        <f t="shared" si="12"/>
        <v>5.0403636193646762E-9</v>
      </c>
    </row>
    <row r="77" spans="1:15" ht="15" x14ac:dyDescent="0.25">
      <c r="A77" s="22">
        <f t="shared" si="13"/>
        <v>24</v>
      </c>
      <c r="B77" s="22">
        <v>1</v>
      </c>
      <c r="C77" s="22">
        <f t="shared" si="0"/>
        <v>0.24</v>
      </c>
      <c r="D77" s="22">
        <f t="shared" si="1"/>
        <v>5.7599999999999998E-2</v>
      </c>
      <c r="E77" s="22">
        <f t="shared" si="2"/>
        <v>1.3823999999999999E-2</v>
      </c>
      <c r="F77" s="22">
        <f t="shared" si="3"/>
        <v>3.3177599999999999E-3</v>
      </c>
      <c r="G77" s="22">
        <f t="shared" si="4"/>
        <v>7.9626239999999997E-4</v>
      </c>
      <c r="H77" s="22">
        <f t="shared" si="5"/>
        <v>1.9110297599999999E-4</v>
      </c>
      <c r="I77" s="22">
        <f t="shared" si="6"/>
        <v>4.5864714239999996E-5</v>
      </c>
      <c r="J77" s="22">
        <f t="shared" si="7"/>
        <v>1.10075314176E-5</v>
      </c>
      <c r="K77" s="22">
        <f t="shared" si="8"/>
        <v>2.6418075402240001E-6</v>
      </c>
      <c r="L77" s="22">
        <f t="shared" si="9"/>
        <v>6.3403380965375995E-7</v>
      </c>
      <c r="M77" s="22">
        <f t="shared" si="10"/>
        <v>1.521681143169024E-7</v>
      </c>
      <c r="N77" s="22">
        <f t="shared" si="11"/>
        <v>3.6520347436056572E-8</v>
      </c>
      <c r="O77" s="22">
        <f t="shared" si="12"/>
        <v>8.7648833846535781E-9</v>
      </c>
    </row>
    <row r="78" spans="1:15" ht="15" x14ac:dyDescent="0.25">
      <c r="A78" s="22">
        <f t="shared" si="13"/>
        <v>25</v>
      </c>
      <c r="B78" s="22">
        <v>1</v>
      </c>
      <c r="C78" s="22">
        <f t="shared" si="0"/>
        <v>0.25</v>
      </c>
      <c r="D78" s="22">
        <f t="shared" si="1"/>
        <v>6.25E-2</v>
      </c>
      <c r="E78" s="22">
        <f t="shared" si="2"/>
        <v>1.5625E-2</v>
      </c>
      <c r="F78" s="22">
        <f t="shared" si="3"/>
        <v>3.90625E-3</v>
      </c>
      <c r="G78" s="22">
        <f t="shared" si="4"/>
        <v>9.765625E-4</v>
      </c>
      <c r="H78" s="22">
        <f t="shared" si="5"/>
        <v>2.44140625E-4</v>
      </c>
      <c r="I78" s="22">
        <f t="shared" si="6"/>
        <v>6.103515625E-5</v>
      </c>
      <c r="J78" s="22">
        <f t="shared" si="7"/>
        <v>1.52587890625E-5</v>
      </c>
      <c r="K78" s="22">
        <f t="shared" si="8"/>
        <v>3.814697265625E-6</v>
      </c>
      <c r="L78" s="22">
        <f t="shared" si="9"/>
        <v>9.5367431640625E-7</v>
      </c>
      <c r="M78" s="22">
        <f t="shared" si="10"/>
        <v>2.384185791015625E-7</v>
      </c>
      <c r="N78" s="22">
        <f t="shared" si="11"/>
        <v>5.9604644775390625E-8</v>
      </c>
      <c r="O78" s="22">
        <f t="shared" si="12"/>
        <v>1.4901161193847656E-8</v>
      </c>
    </row>
    <row r="79" spans="1:15" ht="15" x14ac:dyDescent="0.25">
      <c r="A79" s="22">
        <f t="shared" si="13"/>
        <v>26</v>
      </c>
      <c r="B79" s="22">
        <v>1</v>
      </c>
      <c r="C79" s="22">
        <f t="shared" si="0"/>
        <v>0.26</v>
      </c>
      <c r="D79" s="22">
        <f t="shared" si="1"/>
        <v>6.7600000000000007E-2</v>
      </c>
      <c r="E79" s="22">
        <f t="shared" si="2"/>
        <v>1.7576000000000001E-2</v>
      </c>
      <c r="F79" s="22">
        <f t="shared" si="3"/>
        <v>4.5697600000000008E-3</v>
      </c>
      <c r="G79" s="22">
        <f t="shared" si="4"/>
        <v>1.1881376000000003E-3</v>
      </c>
      <c r="H79" s="22">
        <f t="shared" si="5"/>
        <v>3.0891577600000009E-4</v>
      </c>
      <c r="I79" s="22">
        <f t="shared" si="6"/>
        <v>8.0318101760000016E-5</v>
      </c>
      <c r="J79" s="22">
        <f t="shared" si="7"/>
        <v>2.0882706457600008E-5</v>
      </c>
      <c r="K79" s="22">
        <f t="shared" si="8"/>
        <v>5.4295036789760025E-6</v>
      </c>
      <c r="L79" s="22">
        <f t="shared" si="9"/>
        <v>1.4116709565337606E-6</v>
      </c>
      <c r="M79" s="22">
        <f t="shared" si="10"/>
        <v>3.6703444869877774E-7</v>
      </c>
      <c r="N79" s="22">
        <f t="shared" si="11"/>
        <v>9.5428956661682233E-8</v>
      </c>
      <c r="O79" s="22">
        <f t="shared" si="12"/>
        <v>2.4811528732037381E-8</v>
      </c>
    </row>
    <row r="80" spans="1:15" ht="15" x14ac:dyDescent="0.25">
      <c r="A80" s="22">
        <f t="shared" si="13"/>
        <v>27</v>
      </c>
      <c r="B80" s="22">
        <v>1</v>
      </c>
      <c r="C80" s="22">
        <f t="shared" si="0"/>
        <v>0.27</v>
      </c>
      <c r="D80" s="22">
        <f t="shared" si="1"/>
        <v>7.2900000000000006E-2</v>
      </c>
      <c r="E80" s="22">
        <f t="shared" si="2"/>
        <v>1.9683000000000003E-2</v>
      </c>
      <c r="F80" s="22">
        <f t="shared" si="3"/>
        <v>5.3144100000000012E-3</v>
      </c>
      <c r="G80" s="22">
        <f t="shared" si="4"/>
        <v>1.4348907000000003E-3</v>
      </c>
      <c r="H80" s="22">
        <f t="shared" si="5"/>
        <v>3.8742048900000013E-4</v>
      </c>
      <c r="I80" s="22">
        <f t="shared" si="6"/>
        <v>1.0460353203000004E-4</v>
      </c>
      <c r="J80" s="22">
        <f t="shared" si="7"/>
        <v>2.8242953648100011E-5</v>
      </c>
      <c r="K80" s="22">
        <f t="shared" si="8"/>
        <v>7.6255974849870035E-6</v>
      </c>
      <c r="L80" s="22">
        <f t="shared" si="9"/>
        <v>2.058911320946491E-6</v>
      </c>
      <c r="M80" s="22">
        <f t="shared" si="10"/>
        <v>5.5590605665555257E-7</v>
      </c>
      <c r="N80" s="22">
        <f t="shared" si="11"/>
        <v>1.5009463529699921E-7</v>
      </c>
      <c r="O80" s="22">
        <f t="shared" si="12"/>
        <v>4.0525551530189786E-8</v>
      </c>
    </row>
    <row r="81" spans="1:15" ht="15" x14ac:dyDescent="0.25">
      <c r="A81" s="22">
        <f t="shared" si="13"/>
        <v>28</v>
      </c>
      <c r="B81" s="22">
        <v>1</v>
      </c>
      <c r="C81" s="22">
        <f t="shared" si="0"/>
        <v>0.28000000000000003</v>
      </c>
      <c r="D81" s="22">
        <f t="shared" si="1"/>
        <v>7.8400000000000011E-2</v>
      </c>
      <c r="E81" s="22">
        <f t="shared" si="2"/>
        <v>2.1952000000000006E-2</v>
      </c>
      <c r="F81" s="22">
        <f t="shared" si="3"/>
        <v>6.1465600000000014E-3</v>
      </c>
      <c r="G81" s="22">
        <f t="shared" si="4"/>
        <v>1.7210368000000005E-3</v>
      </c>
      <c r="H81" s="22">
        <f t="shared" si="5"/>
        <v>4.818903040000002E-4</v>
      </c>
      <c r="I81" s="22">
        <f t="shared" si="6"/>
        <v>1.3492928512000006E-4</v>
      </c>
      <c r="J81" s="22">
        <f t="shared" si="7"/>
        <v>3.778019983360002E-5</v>
      </c>
      <c r="K81" s="22">
        <f t="shared" si="8"/>
        <v>1.0578455953408006E-5</v>
      </c>
      <c r="L81" s="22">
        <f t="shared" si="9"/>
        <v>2.9619676669542419E-6</v>
      </c>
      <c r="M81" s="22">
        <f t="shared" si="10"/>
        <v>8.2935094674718787E-7</v>
      </c>
      <c r="N81" s="22">
        <f t="shared" si="11"/>
        <v>2.3221826508921258E-7</v>
      </c>
      <c r="O81" s="22">
        <f t="shared" si="12"/>
        <v>6.5021114224979535E-8</v>
      </c>
    </row>
    <row r="82" spans="1:15" ht="15" x14ac:dyDescent="0.25">
      <c r="A82" s="22">
        <f t="shared" si="13"/>
        <v>29</v>
      </c>
      <c r="B82" s="22">
        <v>1</v>
      </c>
      <c r="C82" s="22">
        <f t="shared" si="0"/>
        <v>0.28999999999999998</v>
      </c>
      <c r="D82" s="22">
        <f t="shared" si="1"/>
        <v>8.4099999999999994E-2</v>
      </c>
      <c r="E82" s="22">
        <f t="shared" si="2"/>
        <v>2.4388999999999997E-2</v>
      </c>
      <c r="F82" s="22">
        <f t="shared" si="3"/>
        <v>7.0728099999999988E-3</v>
      </c>
      <c r="G82" s="22">
        <f t="shared" si="4"/>
        <v>2.0511148999999996E-3</v>
      </c>
      <c r="H82" s="22">
        <f t="shared" si="5"/>
        <v>5.9482332099999988E-4</v>
      </c>
      <c r="I82" s="22">
        <f t="shared" si="6"/>
        <v>1.7249876308999995E-4</v>
      </c>
      <c r="J82" s="22">
        <f t="shared" si="7"/>
        <v>5.0024641296099985E-5</v>
      </c>
      <c r="K82" s="22">
        <f t="shared" si="8"/>
        <v>1.4507145975868995E-5</v>
      </c>
      <c r="L82" s="22">
        <f t="shared" si="9"/>
        <v>4.2070723330020086E-6</v>
      </c>
      <c r="M82" s="22">
        <f t="shared" si="10"/>
        <v>1.2200509765705824E-6</v>
      </c>
      <c r="N82" s="22">
        <f t="shared" si="11"/>
        <v>3.5381478320546886E-7</v>
      </c>
      <c r="O82" s="22">
        <f t="shared" si="12"/>
        <v>1.0260628712958596E-7</v>
      </c>
    </row>
    <row r="83" spans="1:15" ht="15" x14ac:dyDescent="0.25">
      <c r="A83" s="22">
        <f t="shared" si="13"/>
        <v>30</v>
      </c>
      <c r="B83" s="22">
        <v>1</v>
      </c>
      <c r="C83" s="22">
        <f t="shared" si="0"/>
        <v>0.3</v>
      </c>
      <c r="D83" s="22">
        <f t="shared" si="1"/>
        <v>0.09</v>
      </c>
      <c r="E83" s="22">
        <f t="shared" si="2"/>
        <v>2.7E-2</v>
      </c>
      <c r="F83" s="22">
        <f t="shared" si="3"/>
        <v>8.0999999999999996E-3</v>
      </c>
      <c r="G83" s="22">
        <f t="shared" si="4"/>
        <v>2.4299999999999999E-3</v>
      </c>
      <c r="H83" s="22">
        <f t="shared" si="5"/>
        <v>7.2899999999999994E-4</v>
      </c>
      <c r="I83" s="22">
        <f t="shared" si="6"/>
        <v>2.1869999999999998E-4</v>
      </c>
      <c r="J83" s="22">
        <f t="shared" si="7"/>
        <v>6.560999999999999E-5</v>
      </c>
      <c r="K83" s="22">
        <f t="shared" si="8"/>
        <v>1.9682999999999998E-5</v>
      </c>
      <c r="L83" s="22">
        <f t="shared" si="9"/>
        <v>5.9048999999999991E-6</v>
      </c>
      <c r="M83" s="22">
        <f t="shared" si="10"/>
        <v>1.7714699999999997E-6</v>
      </c>
      <c r="N83" s="22">
        <f t="shared" si="11"/>
        <v>5.3144099999999987E-7</v>
      </c>
      <c r="O83" s="22">
        <f t="shared" si="12"/>
        <v>1.5943229999999997E-7</v>
      </c>
    </row>
    <row r="84" spans="1:15" ht="15" x14ac:dyDescent="0.25">
      <c r="A84" s="22">
        <f t="shared" si="13"/>
        <v>31</v>
      </c>
      <c r="B84" s="22">
        <v>1</v>
      </c>
      <c r="C84" s="22">
        <f t="shared" si="0"/>
        <v>0.31</v>
      </c>
      <c r="D84" s="22">
        <f t="shared" si="1"/>
        <v>9.6100000000000005E-2</v>
      </c>
      <c r="E84" s="22">
        <f t="shared" si="2"/>
        <v>2.9791000000000002E-2</v>
      </c>
      <c r="F84" s="22">
        <f t="shared" si="3"/>
        <v>9.2352100000000006E-3</v>
      </c>
      <c r="G84" s="22">
        <f t="shared" si="4"/>
        <v>2.8629151000000002E-3</v>
      </c>
      <c r="H84" s="22">
        <f t="shared" si="5"/>
        <v>8.8750368100000009E-4</v>
      </c>
      <c r="I84" s="22">
        <f t="shared" si="6"/>
        <v>2.7512614111000004E-4</v>
      </c>
      <c r="J84" s="22">
        <f t="shared" si="7"/>
        <v>8.5289103744100011E-5</v>
      </c>
      <c r="K84" s="22">
        <f t="shared" si="8"/>
        <v>2.6439622160671003E-5</v>
      </c>
      <c r="L84" s="22">
        <f t="shared" si="9"/>
        <v>8.196282869808012E-6</v>
      </c>
      <c r="M84" s="22">
        <f t="shared" si="10"/>
        <v>2.5408476896404835E-6</v>
      </c>
      <c r="N84" s="22">
        <f t="shared" si="11"/>
        <v>7.8766278378854996E-7</v>
      </c>
      <c r="O84" s="22">
        <f t="shared" si="12"/>
        <v>2.4417546297445048E-7</v>
      </c>
    </row>
    <row r="85" spans="1:15" ht="15" x14ac:dyDescent="0.25">
      <c r="A85" s="22">
        <f t="shared" si="13"/>
        <v>32</v>
      </c>
      <c r="B85" s="22">
        <v>1</v>
      </c>
      <c r="C85" s="22">
        <f t="shared" si="0"/>
        <v>0.32</v>
      </c>
      <c r="D85" s="22">
        <f t="shared" si="1"/>
        <v>0.1024</v>
      </c>
      <c r="E85" s="22">
        <f t="shared" si="2"/>
        <v>3.2768000000000005E-2</v>
      </c>
      <c r="F85" s="22">
        <f t="shared" si="3"/>
        <v>1.048576E-2</v>
      </c>
      <c r="G85" s="22">
        <f t="shared" si="4"/>
        <v>3.3554432000000001E-3</v>
      </c>
      <c r="H85" s="22">
        <f t="shared" si="5"/>
        <v>1.073741824E-3</v>
      </c>
      <c r="I85" s="22">
        <f t="shared" si="6"/>
        <v>3.4359738368000005E-4</v>
      </c>
      <c r="J85" s="22">
        <f t="shared" si="7"/>
        <v>1.0995116277760001E-4</v>
      </c>
      <c r="K85" s="22">
        <f t="shared" si="8"/>
        <v>3.5184372088832003E-5</v>
      </c>
      <c r="L85" s="22">
        <f t="shared" si="9"/>
        <v>1.1258999068426241E-5</v>
      </c>
      <c r="M85" s="22">
        <f t="shared" si="10"/>
        <v>3.6028797018963978E-6</v>
      </c>
      <c r="N85" s="22">
        <f t="shared" si="11"/>
        <v>1.1529215046068471E-6</v>
      </c>
      <c r="O85" s="22">
        <f t="shared" si="12"/>
        <v>3.689348814741911E-7</v>
      </c>
    </row>
    <row r="86" spans="1:15" ht="15" x14ac:dyDescent="0.25">
      <c r="A86" s="22">
        <f t="shared" si="13"/>
        <v>33</v>
      </c>
      <c r="B86" s="22">
        <v>1</v>
      </c>
      <c r="C86" s="22">
        <f t="shared" si="0"/>
        <v>0.33</v>
      </c>
      <c r="D86" s="22">
        <f t="shared" si="1"/>
        <v>0.10890000000000001</v>
      </c>
      <c r="E86" s="22">
        <f t="shared" si="2"/>
        <v>3.5937000000000004E-2</v>
      </c>
      <c r="F86" s="22">
        <f t="shared" si="3"/>
        <v>1.1859210000000002E-2</v>
      </c>
      <c r="G86" s="22">
        <f t="shared" si="4"/>
        <v>3.9135393000000011E-3</v>
      </c>
      <c r="H86" s="22">
        <f t="shared" si="5"/>
        <v>1.2914679690000004E-3</v>
      </c>
      <c r="I86" s="22">
        <f t="shared" si="6"/>
        <v>4.261844297700001E-4</v>
      </c>
      <c r="J86" s="22">
        <f t="shared" si="7"/>
        <v>1.4064086182410005E-4</v>
      </c>
      <c r="K86" s="22">
        <f t="shared" si="8"/>
        <v>4.6411484401953018E-5</v>
      </c>
      <c r="L86" s="22">
        <f t="shared" si="9"/>
        <v>1.5315789852644496E-5</v>
      </c>
      <c r="M86" s="22">
        <f t="shared" si="10"/>
        <v>5.0542106513726839E-6</v>
      </c>
      <c r="N86" s="22">
        <f t="shared" si="11"/>
        <v>1.6678895149529858E-6</v>
      </c>
      <c r="O86" s="22">
        <f t="shared" si="12"/>
        <v>5.5040353993448537E-7</v>
      </c>
    </row>
    <row r="87" spans="1:15" ht="15" x14ac:dyDescent="0.25">
      <c r="A87" s="22">
        <f t="shared" si="13"/>
        <v>34</v>
      </c>
      <c r="B87" s="22">
        <v>1</v>
      </c>
      <c r="C87" s="22">
        <f t="shared" si="0"/>
        <v>0.34</v>
      </c>
      <c r="D87" s="22">
        <f t="shared" si="1"/>
        <v>0.11560000000000002</v>
      </c>
      <c r="E87" s="22">
        <f t="shared" si="2"/>
        <v>3.9304000000000013E-2</v>
      </c>
      <c r="F87" s="22">
        <f t="shared" si="3"/>
        <v>1.3363360000000005E-2</v>
      </c>
      <c r="G87" s="22">
        <f t="shared" si="4"/>
        <v>4.5435424000000021E-3</v>
      </c>
      <c r="H87" s="22">
        <f t="shared" si="5"/>
        <v>1.5448044160000008E-3</v>
      </c>
      <c r="I87" s="22">
        <f t="shared" si="6"/>
        <v>5.2523350144000037E-4</v>
      </c>
      <c r="J87" s="22">
        <f t="shared" si="7"/>
        <v>1.7857939048960013E-4</v>
      </c>
      <c r="K87" s="22">
        <f t="shared" si="8"/>
        <v>6.0716992766464047E-5</v>
      </c>
      <c r="L87" s="22">
        <f t="shared" si="9"/>
        <v>2.064377754059778E-5</v>
      </c>
      <c r="M87" s="22">
        <f t="shared" si="10"/>
        <v>7.0188843638032455E-6</v>
      </c>
      <c r="N87" s="22">
        <f t="shared" si="11"/>
        <v>2.3864206836931037E-6</v>
      </c>
      <c r="O87" s="22">
        <f t="shared" si="12"/>
        <v>8.1138303245565528E-7</v>
      </c>
    </row>
    <row r="88" spans="1:15" ht="15" x14ac:dyDescent="0.25">
      <c r="A88" s="22">
        <f t="shared" si="13"/>
        <v>35</v>
      </c>
      <c r="B88" s="22">
        <v>1</v>
      </c>
      <c r="C88" s="22">
        <f t="shared" si="0"/>
        <v>0.35000000000000003</v>
      </c>
      <c r="D88" s="22">
        <f t="shared" si="1"/>
        <v>0.12250000000000003</v>
      </c>
      <c r="E88" s="22">
        <f t="shared" si="2"/>
        <v>4.287500000000001E-2</v>
      </c>
      <c r="F88" s="22">
        <f t="shared" si="3"/>
        <v>1.5006250000000006E-2</v>
      </c>
      <c r="G88" s="22">
        <f t="shared" si="4"/>
        <v>5.2521875000000025E-3</v>
      </c>
      <c r="H88" s="22">
        <f t="shared" si="5"/>
        <v>1.8382656250000011E-3</v>
      </c>
      <c r="I88" s="22">
        <f t="shared" si="6"/>
        <v>6.4339296875000037E-4</v>
      </c>
      <c r="J88" s="22">
        <f t="shared" si="7"/>
        <v>2.2518753906250016E-4</v>
      </c>
      <c r="K88" s="22">
        <f t="shared" si="8"/>
        <v>7.8815638671875067E-5</v>
      </c>
      <c r="L88" s="22">
        <f t="shared" si="9"/>
        <v>2.7585473535156275E-5</v>
      </c>
      <c r="M88" s="22">
        <f t="shared" si="10"/>
        <v>9.6549157373046967E-6</v>
      </c>
      <c r="N88" s="22">
        <f t="shared" si="11"/>
        <v>3.3792205080566445E-6</v>
      </c>
      <c r="O88" s="22">
        <f t="shared" si="12"/>
        <v>1.1827271778198255E-6</v>
      </c>
    </row>
    <row r="89" spans="1:15" ht="15" x14ac:dyDescent="0.25">
      <c r="A89" s="22">
        <f t="shared" si="13"/>
        <v>36</v>
      </c>
      <c r="B89" s="22">
        <v>1</v>
      </c>
      <c r="C89" s="22">
        <f t="shared" si="0"/>
        <v>0.36</v>
      </c>
      <c r="D89" s="22">
        <f t="shared" si="1"/>
        <v>0.12959999999999999</v>
      </c>
      <c r="E89" s="22">
        <f t="shared" si="2"/>
        <v>4.6655999999999996E-2</v>
      </c>
      <c r="F89" s="22">
        <f t="shared" si="3"/>
        <v>1.6796159999999997E-2</v>
      </c>
      <c r="G89" s="22">
        <f t="shared" si="4"/>
        <v>6.0466175999999991E-3</v>
      </c>
      <c r="H89" s="22">
        <f t="shared" si="5"/>
        <v>2.1767823359999995E-3</v>
      </c>
      <c r="I89" s="22">
        <f t="shared" si="6"/>
        <v>7.8364164095999977E-4</v>
      </c>
      <c r="J89" s="22">
        <f t="shared" si="7"/>
        <v>2.8211099074559989E-4</v>
      </c>
      <c r="K89" s="22">
        <f t="shared" si="8"/>
        <v>1.0155995666841596E-4</v>
      </c>
      <c r="L89" s="22">
        <f t="shared" si="9"/>
        <v>3.6561584400629747E-5</v>
      </c>
      <c r="M89" s="22">
        <f t="shared" si="10"/>
        <v>1.3162170384226707E-5</v>
      </c>
      <c r="N89" s="22">
        <f t="shared" si="11"/>
        <v>4.7383813383216143E-6</v>
      </c>
      <c r="O89" s="22">
        <f t="shared" si="12"/>
        <v>1.7058172817957813E-6</v>
      </c>
    </row>
    <row r="90" spans="1:15" ht="15" x14ac:dyDescent="0.25">
      <c r="A90" s="22">
        <f t="shared" si="13"/>
        <v>37</v>
      </c>
      <c r="B90" s="22">
        <v>1</v>
      </c>
      <c r="C90" s="22">
        <f t="shared" si="0"/>
        <v>0.37</v>
      </c>
      <c r="D90" s="22">
        <f t="shared" si="1"/>
        <v>0.13689999999999999</v>
      </c>
      <c r="E90" s="22">
        <f t="shared" si="2"/>
        <v>5.0652999999999997E-2</v>
      </c>
      <c r="F90" s="22">
        <f t="shared" si="3"/>
        <v>1.8741609999999999E-2</v>
      </c>
      <c r="G90" s="22">
        <f t="shared" si="4"/>
        <v>6.9343956999999993E-3</v>
      </c>
      <c r="H90" s="22">
        <f t="shared" si="5"/>
        <v>2.5657264089999996E-3</v>
      </c>
      <c r="I90" s="22">
        <f t="shared" si="6"/>
        <v>9.4931877132999986E-4</v>
      </c>
      <c r="J90" s="22">
        <f t="shared" si="7"/>
        <v>3.5124794539209995E-4</v>
      </c>
      <c r="K90" s="22">
        <f t="shared" si="8"/>
        <v>1.2996173979507698E-4</v>
      </c>
      <c r="L90" s="22">
        <f t="shared" si="9"/>
        <v>4.8085843724178479E-5</v>
      </c>
      <c r="M90" s="22">
        <f t="shared" si="10"/>
        <v>1.7791762177946038E-5</v>
      </c>
      <c r="N90" s="22">
        <f t="shared" si="11"/>
        <v>6.5829520058400337E-6</v>
      </c>
      <c r="O90" s="22">
        <f t="shared" si="12"/>
        <v>2.4356922421608124E-6</v>
      </c>
    </row>
    <row r="91" spans="1:15" ht="15" x14ac:dyDescent="0.25">
      <c r="A91" s="22">
        <f t="shared" si="13"/>
        <v>38</v>
      </c>
      <c r="B91" s="22">
        <v>1</v>
      </c>
      <c r="C91" s="22">
        <f t="shared" si="0"/>
        <v>0.38</v>
      </c>
      <c r="D91" s="22">
        <f t="shared" si="1"/>
        <v>0.1444</v>
      </c>
      <c r="E91" s="22">
        <f t="shared" si="2"/>
        <v>5.4872000000000004E-2</v>
      </c>
      <c r="F91" s="22">
        <f t="shared" si="3"/>
        <v>2.0851359999999999E-2</v>
      </c>
      <c r="G91" s="22">
        <f t="shared" si="4"/>
        <v>7.9235168000000005E-3</v>
      </c>
      <c r="H91" s="22">
        <f t="shared" si="5"/>
        <v>3.0109363839999998E-3</v>
      </c>
      <c r="I91" s="22">
        <f t="shared" si="6"/>
        <v>1.1441558259200001E-3</v>
      </c>
      <c r="J91" s="22">
        <f t="shared" si="7"/>
        <v>4.3477921384959997E-4</v>
      </c>
      <c r="K91" s="22">
        <f t="shared" si="8"/>
        <v>1.65216101262848E-4</v>
      </c>
      <c r="L91" s="22">
        <f t="shared" si="9"/>
        <v>6.2782118479882233E-5</v>
      </c>
      <c r="M91" s="22">
        <f t="shared" si="10"/>
        <v>2.3857205022355252E-5</v>
      </c>
      <c r="N91" s="22">
        <f t="shared" si="11"/>
        <v>9.0657379084949944E-6</v>
      </c>
      <c r="O91" s="22">
        <f t="shared" si="12"/>
        <v>3.4449804052280984E-6</v>
      </c>
    </row>
    <row r="92" spans="1:15" ht="15" x14ac:dyDescent="0.25">
      <c r="A92" s="22">
        <f t="shared" si="13"/>
        <v>39</v>
      </c>
      <c r="B92" s="22">
        <v>1</v>
      </c>
      <c r="C92" s="22">
        <f t="shared" si="0"/>
        <v>0.39</v>
      </c>
      <c r="D92" s="22">
        <f t="shared" si="1"/>
        <v>0.15210000000000001</v>
      </c>
      <c r="E92" s="22">
        <f t="shared" si="2"/>
        <v>5.9319000000000004E-2</v>
      </c>
      <c r="F92" s="22">
        <f t="shared" si="3"/>
        <v>2.3134410000000005E-2</v>
      </c>
      <c r="G92" s="22">
        <f t="shared" si="4"/>
        <v>9.0224199000000019E-3</v>
      </c>
      <c r="H92" s="22">
        <f t="shared" si="5"/>
        <v>3.5187437610000008E-3</v>
      </c>
      <c r="I92" s="22">
        <f t="shared" si="6"/>
        <v>1.3723100667900005E-3</v>
      </c>
      <c r="J92" s="22">
        <f t="shared" si="7"/>
        <v>5.3520092604810018E-4</v>
      </c>
      <c r="K92" s="22">
        <f t="shared" si="8"/>
        <v>2.0872836115875908E-4</v>
      </c>
      <c r="L92" s="22">
        <f t="shared" si="9"/>
        <v>8.1404060851916044E-5</v>
      </c>
      <c r="M92" s="22">
        <f t="shared" si="10"/>
        <v>3.1747583732247258E-5</v>
      </c>
      <c r="N92" s="22">
        <f t="shared" si="11"/>
        <v>1.2381557655576431E-5</v>
      </c>
      <c r="O92" s="22">
        <f t="shared" si="12"/>
        <v>4.8288074856748085E-6</v>
      </c>
    </row>
    <row r="93" spans="1:15" ht="15" x14ac:dyDescent="0.25">
      <c r="A93" s="22">
        <f t="shared" si="13"/>
        <v>40</v>
      </c>
      <c r="B93" s="22">
        <v>1</v>
      </c>
      <c r="C93" s="22">
        <f t="shared" si="0"/>
        <v>0.4</v>
      </c>
      <c r="D93" s="22">
        <f t="shared" si="1"/>
        <v>0.16000000000000003</v>
      </c>
      <c r="E93" s="22">
        <f t="shared" si="2"/>
        <v>6.4000000000000015E-2</v>
      </c>
      <c r="F93" s="22">
        <f t="shared" si="3"/>
        <v>2.5600000000000012E-2</v>
      </c>
      <c r="G93" s="22">
        <f t="shared" si="4"/>
        <v>1.0240000000000006E-2</v>
      </c>
      <c r="H93" s="22">
        <f t="shared" si="5"/>
        <v>4.0960000000000024E-3</v>
      </c>
      <c r="I93" s="22">
        <f t="shared" si="6"/>
        <v>1.6384000000000012E-3</v>
      </c>
      <c r="J93" s="22">
        <f t="shared" si="7"/>
        <v>6.5536000000000056E-4</v>
      </c>
      <c r="K93" s="22">
        <f t="shared" si="8"/>
        <v>2.6214400000000023E-4</v>
      </c>
      <c r="L93" s="22">
        <f t="shared" si="9"/>
        <v>1.0485760000000011E-4</v>
      </c>
      <c r="M93" s="22">
        <f t="shared" si="10"/>
        <v>4.1943040000000045E-5</v>
      </c>
      <c r="N93" s="22">
        <f t="shared" si="11"/>
        <v>1.6777216000000023E-5</v>
      </c>
      <c r="O93" s="22">
        <f t="shared" si="12"/>
        <v>6.7108864000000095E-6</v>
      </c>
    </row>
    <row r="94" spans="1:15" ht="15" x14ac:dyDescent="0.25">
      <c r="A94" s="22">
        <f t="shared" si="13"/>
        <v>41</v>
      </c>
      <c r="B94" s="22">
        <v>1</v>
      </c>
      <c r="C94" s="22">
        <f t="shared" si="0"/>
        <v>0.41000000000000003</v>
      </c>
      <c r="D94" s="22">
        <f t="shared" si="1"/>
        <v>0.16810000000000003</v>
      </c>
      <c r="E94" s="22">
        <f t="shared" si="2"/>
        <v>6.892100000000001E-2</v>
      </c>
      <c r="F94" s="22">
        <f t="shared" si="3"/>
        <v>2.8257610000000009E-2</v>
      </c>
      <c r="G94" s="22">
        <f t="shared" si="4"/>
        <v>1.1585620100000004E-2</v>
      </c>
      <c r="H94" s="22">
        <f t="shared" si="5"/>
        <v>4.7501042410000027E-3</v>
      </c>
      <c r="I94" s="22">
        <f t="shared" si="6"/>
        <v>1.9475427388100008E-3</v>
      </c>
      <c r="J94" s="22">
        <f t="shared" si="7"/>
        <v>7.9849252291210049E-4</v>
      </c>
      <c r="K94" s="22">
        <f t="shared" si="8"/>
        <v>3.273819343939612E-4</v>
      </c>
      <c r="L94" s="22">
        <f t="shared" si="9"/>
        <v>1.3422659310152412E-4</v>
      </c>
      <c r="M94" s="22">
        <f t="shared" si="10"/>
        <v>5.5032903171624889E-5</v>
      </c>
      <c r="N94" s="22">
        <f t="shared" si="11"/>
        <v>2.2563490300366209E-5</v>
      </c>
      <c r="O94" s="22">
        <f t="shared" si="12"/>
        <v>9.2510310231501455E-6</v>
      </c>
    </row>
    <row r="95" spans="1:15" ht="15" x14ac:dyDescent="0.25">
      <c r="A95" s="22">
        <f t="shared" si="13"/>
        <v>42</v>
      </c>
      <c r="B95" s="22">
        <v>1</v>
      </c>
      <c r="C95" s="22">
        <f t="shared" si="0"/>
        <v>0.42</v>
      </c>
      <c r="D95" s="22">
        <f t="shared" si="1"/>
        <v>0.17639999999999997</v>
      </c>
      <c r="E95" s="22">
        <f t="shared" si="2"/>
        <v>7.4087999999999987E-2</v>
      </c>
      <c r="F95" s="22">
        <f t="shared" si="3"/>
        <v>3.1116959999999992E-2</v>
      </c>
      <c r="G95" s="22">
        <f t="shared" si="4"/>
        <v>1.3069123199999996E-2</v>
      </c>
      <c r="H95" s="22">
        <f t="shared" si="5"/>
        <v>5.489031743999998E-3</v>
      </c>
      <c r="I95" s="22">
        <f t="shared" si="6"/>
        <v>2.305393332479999E-3</v>
      </c>
      <c r="J95" s="22">
        <f t="shared" si="7"/>
        <v>9.6826519964159953E-4</v>
      </c>
      <c r="K95" s="22">
        <f t="shared" si="8"/>
        <v>4.0667138384947179E-4</v>
      </c>
      <c r="L95" s="22">
        <f t="shared" si="9"/>
        <v>1.7080198121677812E-4</v>
      </c>
      <c r="M95" s="22">
        <f t="shared" si="10"/>
        <v>7.1736832111046807E-5</v>
      </c>
      <c r="N95" s="22">
        <f t="shared" si="11"/>
        <v>3.0129469486639658E-5</v>
      </c>
      <c r="O95" s="22">
        <f t="shared" si="12"/>
        <v>1.2654377184388657E-5</v>
      </c>
    </row>
    <row r="96" spans="1:15" ht="15" x14ac:dyDescent="0.25">
      <c r="A96" s="22">
        <f t="shared" si="13"/>
        <v>43</v>
      </c>
      <c r="B96" s="22">
        <v>1</v>
      </c>
      <c r="C96" s="22">
        <f t="shared" si="0"/>
        <v>0.43</v>
      </c>
      <c r="D96" s="22">
        <f t="shared" si="1"/>
        <v>0.18489999999999998</v>
      </c>
      <c r="E96" s="22">
        <f t="shared" si="2"/>
        <v>7.9506999999999994E-2</v>
      </c>
      <c r="F96" s="22">
        <f t="shared" si="3"/>
        <v>3.4188009999999991E-2</v>
      </c>
      <c r="G96" s="22">
        <f t="shared" si="4"/>
        <v>1.4700844299999996E-2</v>
      </c>
      <c r="H96" s="22">
        <f t="shared" si="5"/>
        <v>6.3213630489999976E-3</v>
      </c>
      <c r="I96" s="22">
        <f t="shared" si="6"/>
        <v>2.7181861110699992E-3</v>
      </c>
      <c r="J96" s="22">
        <f t="shared" si="7"/>
        <v>1.1688200277600994E-3</v>
      </c>
      <c r="K96" s="22">
        <f t="shared" si="8"/>
        <v>5.0259261193684273E-4</v>
      </c>
      <c r="L96" s="22">
        <f t="shared" si="9"/>
        <v>2.1611482313284238E-4</v>
      </c>
      <c r="M96" s="22">
        <f t="shared" si="10"/>
        <v>9.2929373947122214E-5</v>
      </c>
      <c r="N96" s="22">
        <f t="shared" si="11"/>
        <v>3.995963079726255E-5</v>
      </c>
      <c r="O96" s="22">
        <f t="shared" si="12"/>
        <v>1.7182641242822895E-5</v>
      </c>
    </row>
    <row r="97" spans="1:15" ht="15" x14ac:dyDescent="0.25">
      <c r="A97" s="22">
        <f t="shared" si="13"/>
        <v>44</v>
      </c>
      <c r="B97" s="22">
        <v>1</v>
      </c>
      <c r="C97" s="22">
        <f t="shared" si="0"/>
        <v>0.44</v>
      </c>
      <c r="D97" s="22">
        <f t="shared" si="1"/>
        <v>0.19359999999999999</v>
      </c>
      <c r="E97" s="22">
        <f t="shared" si="2"/>
        <v>8.5183999999999996E-2</v>
      </c>
      <c r="F97" s="22">
        <f t="shared" si="3"/>
        <v>3.7480960000000001E-2</v>
      </c>
      <c r="G97" s="22">
        <f t="shared" si="4"/>
        <v>1.6491622399999999E-2</v>
      </c>
      <c r="H97" s="22">
        <f t="shared" si="5"/>
        <v>7.2563138559999995E-3</v>
      </c>
      <c r="I97" s="22">
        <f t="shared" si="6"/>
        <v>3.1927780966400001E-3</v>
      </c>
      <c r="J97" s="22">
        <f t="shared" si="7"/>
        <v>1.4048223625216E-3</v>
      </c>
      <c r="K97" s="22">
        <f t="shared" si="8"/>
        <v>6.1812183950950403E-4</v>
      </c>
      <c r="L97" s="22">
        <f t="shared" si="9"/>
        <v>2.7197360938418174E-4</v>
      </c>
      <c r="M97" s="22">
        <f t="shared" si="10"/>
        <v>1.1966838812903997E-4</v>
      </c>
      <c r="N97" s="22">
        <f t="shared" si="11"/>
        <v>5.2654090776777589E-5</v>
      </c>
      <c r="O97" s="22">
        <f t="shared" si="12"/>
        <v>2.3167799941782137E-5</v>
      </c>
    </row>
    <row r="98" spans="1:15" ht="15" x14ac:dyDescent="0.25">
      <c r="A98" s="22">
        <f t="shared" si="13"/>
        <v>45</v>
      </c>
      <c r="B98" s="22">
        <v>1</v>
      </c>
      <c r="C98" s="22">
        <f t="shared" si="0"/>
        <v>0.45</v>
      </c>
      <c r="D98" s="22">
        <f t="shared" si="1"/>
        <v>0.20250000000000001</v>
      </c>
      <c r="E98" s="22">
        <f t="shared" si="2"/>
        <v>9.1125000000000012E-2</v>
      </c>
      <c r="F98" s="22">
        <f t="shared" si="3"/>
        <v>4.1006250000000008E-2</v>
      </c>
      <c r="G98" s="22">
        <f t="shared" si="4"/>
        <v>1.8452812500000006E-2</v>
      </c>
      <c r="H98" s="22">
        <f t="shared" si="5"/>
        <v>8.3037656250000026E-3</v>
      </c>
      <c r="I98" s="22">
        <f t="shared" si="6"/>
        <v>3.7366945312500011E-3</v>
      </c>
      <c r="J98" s="22">
        <f t="shared" si="7"/>
        <v>1.6815125390625006E-3</v>
      </c>
      <c r="K98" s="22">
        <f t="shared" si="8"/>
        <v>7.5668064257812528E-4</v>
      </c>
      <c r="L98" s="22">
        <f t="shared" si="9"/>
        <v>3.405062891601564E-4</v>
      </c>
      <c r="M98" s="22">
        <f t="shared" si="10"/>
        <v>1.532278301220704E-4</v>
      </c>
      <c r="N98" s="22">
        <f t="shared" si="11"/>
        <v>6.8952523554931681E-5</v>
      </c>
      <c r="O98" s="22">
        <f t="shared" si="12"/>
        <v>3.1028635599719261E-5</v>
      </c>
    </row>
    <row r="99" spans="1:15" ht="15" x14ac:dyDescent="0.25">
      <c r="A99" s="22">
        <f t="shared" si="13"/>
        <v>46</v>
      </c>
      <c r="B99" s="22">
        <v>1</v>
      </c>
      <c r="C99" s="22">
        <f t="shared" si="0"/>
        <v>0.46</v>
      </c>
      <c r="D99" s="22">
        <f t="shared" si="1"/>
        <v>0.21160000000000001</v>
      </c>
      <c r="E99" s="22">
        <f t="shared" si="2"/>
        <v>9.7336000000000006E-2</v>
      </c>
      <c r="F99" s="22">
        <f t="shared" si="3"/>
        <v>4.4774560000000005E-2</v>
      </c>
      <c r="G99" s="22">
        <f t="shared" si="4"/>
        <v>2.0596297600000004E-2</v>
      </c>
      <c r="H99" s="22">
        <f t="shared" si="5"/>
        <v>9.4742968960000017E-3</v>
      </c>
      <c r="I99" s="22">
        <f t="shared" si="6"/>
        <v>4.3581765721600009E-3</v>
      </c>
      <c r="J99" s="22">
        <f t="shared" si="7"/>
        <v>2.0047612231936006E-3</v>
      </c>
      <c r="K99" s="22">
        <f t="shared" si="8"/>
        <v>9.2219016266905632E-4</v>
      </c>
      <c r="L99" s="22">
        <f t="shared" si="9"/>
        <v>4.2420747482776593E-4</v>
      </c>
      <c r="M99" s="22">
        <f t="shared" si="10"/>
        <v>1.9513543842077232E-4</v>
      </c>
      <c r="N99" s="22">
        <f t="shared" si="11"/>
        <v>8.9762301673555276E-5</v>
      </c>
      <c r="O99" s="22">
        <f t="shared" si="12"/>
        <v>4.1290658769835428E-5</v>
      </c>
    </row>
    <row r="100" spans="1:15" ht="15" x14ac:dyDescent="0.25">
      <c r="A100" s="22">
        <f t="shared" si="13"/>
        <v>47</v>
      </c>
      <c r="B100" s="22">
        <v>1</v>
      </c>
      <c r="C100" s="22">
        <f t="shared" si="0"/>
        <v>0.47000000000000003</v>
      </c>
      <c r="D100" s="22">
        <f t="shared" si="1"/>
        <v>0.22090000000000004</v>
      </c>
      <c r="E100" s="22">
        <f t="shared" si="2"/>
        <v>0.10382300000000003</v>
      </c>
      <c r="F100" s="22">
        <f t="shared" si="3"/>
        <v>4.8796810000000017E-2</v>
      </c>
      <c r="G100" s="22">
        <f t="shared" si="4"/>
        <v>2.2934500700000009E-2</v>
      </c>
      <c r="H100" s="22">
        <f t="shared" si="5"/>
        <v>1.0779215329000006E-2</v>
      </c>
      <c r="I100" s="22">
        <f t="shared" si="6"/>
        <v>5.0662312046300031E-3</v>
      </c>
      <c r="J100" s="22">
        <f t="shared" si="7"/>
        <v>2.3811286661761018E-3</v>
      </c>
      <c r="K100" s="22">
        <f t="shared" si="8"/>
        <v>1.119130473102768E-3</v>
      </c>
      <c r="L100" s="22">
        <f t="shared" si="9"/>
        <v>5.2599132235830104E-4</v>
      </c>
      <c r="M100" s="22">
        <f t="shared" si="10"/>
        <v>2.472159215084015E-4</v>
      </c>
      <c r="N100" s="22">
        <f t="shared" si="11"/>
        <v>1.1619148310894871E-4</v>
      </c>
      <c r="O100" s="22">
        <f t="shared" si="12"/>
        <v>5.4609997061205895E-5</v>
      </c>
    </row>
    <row r="101" spans="1:15" ht="15" x14ac:dyDescent="0.25">
      <c r="A101" s="22">
        <f t="shared" si="13"/>
        <v>48</v>
      </c>
      <c r="B101" s="22">
        <v>1</v>
      </c>
      <c r="C101" s="22">
        <f t="shared" si="0"/>
        <v>0.48</v>
      </c>
      <c r="D101" s="22">
        <f t="shared" si="1"/>
        <v>0.23039999999999999</v>
      </c>
      <c r="E101" s="22">
        <f t="shared" si="2"/>
        <v>0.110592</v>
      </c>
      <c r="F101" s="22">
        <f t="shared" si="3"/>
        <v>5.3084159999999998E-2</v>
      </c>
      <c r="G101" s="22">
        <f t="shared" si="4"/>
        <v>2.5480396799999999E-2</v>
      </c>
      <c r="H101" s="22">
        <f t="shared" si="5"/>
        <v>1.2230590463999999E-2</v>
      </c>
      <c r="I101" s="22">
        <f t="shared" si="6"/>
        <v>5.8706834227199994E-3</v>
      </c>
      <c r="J101" s="22">
        <f t="shared" si="7"/>
        <v>2.8179280429056E-3</v>
      </c>
      <c r="K101" s="22">
        <f t="shared" si="8"/>
        <v>1.352605460594688E-3</v>
      </c>
      <c r="L101" s="22">
        <f t="shared" si="9"/>
        <v>6.4925062108545019E-4</v>
      </c>
      <c r="M101" s="22">
        <f t="shared" si="10"/>
        <v>3.1164029812101612E-4</v>
      </c>
      <c r="N101" s="22">
        <f t="shared" si="11"/>
        <v>1.4958734309808772E-4</v>
      </c>
      <c r="O101" s="22">
        <f t="shared" si="12"/>
        <v>7.1801924687082112E-5</v>
      </c>
    </row>
    <row r="102" spans="1:15" ht="15" x14ac:dyDescent="0.25">
      <c r="A102" s="22">
        <f t="shared" si="13"/>
        <v>49</v>
      </c>
      <c r="B102" s="22">
        <v>1</v>
      </c>
      <c r="C102" s="22">
        <f t="shared" si="0"/>
        <v>0.49</v>
      </c>
      <c r="D102" s="22">
        <f t="shared" si="1"/>
        <v>0.24009999999999998</v>
      </c>
      <c r="E102" s="22">
        <f t="shared" si="2"/>
        <v>0.11764899999999999</v>
      </c>
      <c r="F102" s="22">
        <f t="shared" si="3"/>
        <v>5.7648009999999993E-2</v>
      </c>
      <c r="G102" s="22">
        <f t="shared" si="4"/>
        <v>2.8247524899999994E-2</v>
      </c>
      <c r="H102" s="22">
        <f t="shared" si="5"/>
        <v>1.3841287200999997E-2</v>
      </c>
      <c r="I102" s="22">
        <f t="shared" si="6"/>
        <v>6.7822307284899986E-3</v>
      </c>
      <c r="J102" s="22">
        <f t="shared" si="7"/>
        <v>3.3232930569600991E-3</v>
      </c>
      <c r="K102" s="22">
        <f t="shared" si="8"/>
        <v>1.6284135979104486E-3</v>
      </c>
      <c r="L102" s="22">
        <f t="shared" si="9"/>
        <v>7.979226629761197E-4</v>
      </c>
      <c r="M102" s="22">
        <f t="shared" si="10"/>
        <v>3.9098210485829864E-4</v>
      </c>
      <c r="N102" s="22">
        <f t="shared" si="11"/>
        <v>1.9158123138056634E-4</v>
      </c>
      <c r="O102" s="22">
        <f t="shared" si="12"/>
        <v>9.3874803376477501E-5</v>
      </c>
    </row>
    <row r="103" spans="1:15" ht="15" x14ac:dyDescent="0.25">
      <c r="A103" s="22">
        <f t="shared" si="13"/>
        <v>50</v>
      </c>
      <c r="B103" s="22">
        <v>1</v>
      </c>
      <c r="C103" s="22">
        <f t="shared" si="0"/>
        <v>0.5</v>
      </c>
      <c r="D103" s="22">
        <f t="shared" si="1"/>
        <v>0.25</v>
      </c>
      <c r="E103" s="22">
        <f t="shared" si="2"/>
        <v>0.125</v>
      </c>
      <c r="F103" s="22">
        <f t="shared" si="3"/>
        <v>6.25E-2</v>
      </c>
      <c r="G103" s="22">
        <f t="shared" si="4"/>
        <v>3.125E-2</v>
      </c>
      <c r="H103" s="22">
        <f t="shared" si="5"/>
        <v>1.5625E-2</v>
      </c>
      <c r="I103" s="22">
        <f t="shared" si="6"/>
        <v>7.8125E-3</v>
      </c>
      <c r="J103" s="22">
        <f t="shared" si="7"/>
        <v>3.90625E-3</v>
      </c>
      <c r="K103" s="22">
        <f t="shared" si="8"/>
        <v>1.953125E-3</v>
      </c>
      <c r="L103" s="22">
        <f t="shared" si="9"/>
        <v>9.765625E-4</v>
      </c>
      <c r="M103" s="22">
        <f t="shared" si="10"/>
        <v>4.8828125E-4</v>
      </c>
      <c r="N103" s="22">
        <f t="shared" si="11"/>
        <v>2.44140625E-4</v>
      </c>
      <c r="O103" s="22">
        <f t="shared" si="12"/>
        <v>1.220703125E-4</v>
      </c>
    </row>
    <row r="104" spans="1:15" ht="15" x14ac:dyDescent="0.25">
      <c r="A104" s="22">
        <f t="shared" si="13"/>
        <v>51</v>
      </c>
      <c r="B104" s="22">
        <v>1</v>
      </c>
      <c r="C104" s="22">
        <f t="shared" si="0"/>
        <v>0.51</v>
      </c>
      <c r="D104" s="22">
        <f t="shared" si="1"/>
        <v>0.2601</v>
      </c>
      <c r="E104" s="22">
        <f t="shared" si="2"/>
        <v>0.13265099999999999</v>
      </c>
      <c r="F104" s="22">
        <f t="shared" si="3"/>
        <v>6.7652009999999999E-2</v>
      </c>
      <c r="G104" s="22">
        <f t="shared" si="4"/>
        <v>3.4502525100000001E-2</v>
      </c>
      <c r="H104" s="22">
        <f t="shared" si="5"/>
        <v>1.7596287801000001E-2</v>
      </c>
      <c r="I104" s="22">
        <f t="shared" si="6"/>
        <v>8.9741067785099986E-3</v>
      </c>
      <c r="J104" s="22">
        <f t="shared" si="7"/>
        <v>4.5767944570400997E-3</v>
      </c>
      <c r="K104" s="22">
        <f t="shared" si="8"/>
        <v>2.3341651730904509E-3</v>
      </c>
      <c r="L104" s="22">
        <f t="shared" si="9"/>
        <v>1.19042423827613E-3</v>
      </c>
      <c r="M104" s="22">
        <f t="shared" si="10"/>
        <v>6.0711636152082618E-4</v>
      </c>
      <c r="N104" s="22">
        <f t="shared" si="11"/>
        <v>3.096293443756214E-4</v>
      </c>
      <c r="O104" s="22">
        <f t="shared" si="12"/>
        <v>1.5791096563156691E-4</v>
      </c>
    </row>
    <row r="105" spans="1:15" ht="15" x14ac:dyDescent="0.25">
      <c r="A105" s="22">
        <f t="shared" si="13"/>
        <v>52</v>
      </c>
      <c r="B105" s="22">
        <v>1</v>
      </c>
      <c r="C105" s="22">
        <f t="shared" si="0"/>
        <v>0.52</v>
      </c>
      <c r="D105" s="22">
        <f t="shared" si="1"/>
        <v>0.27040000000000003</v>
      </c>
      <c r="E105" s="22">
        <f t="shared" si="2"/>
        <v>0.14060800000000001</v>
      </c>
      <c r="F105" s="22">
        <f t="shared" si="3"/>
        <v>7.3116160000000013E-2</v>
      </c>
      <c r="G105" s="22">
        <f t="shared" si="4"/>
        <v>3.8020403200000011E-2</v>
      </c>
      <c r="H105" s="22">
        <f t="shared" si="5"/>
        <v>1.9770609664000006E-2</v>
      </c>
      <c r="I105" s="22">
        <f t="shared" si="6"/>
        <v>1.0280717025280002E-2</v>
      </c>
      <c r="J105" s="22">
        <f t="shared" si="7"/>
        <v>5.345972853145602E-3</v>
      </c>
      <c r="K105" s="22">
        <f t="shared" si="8"/>
        <v>2.7799058836357133E-3</v>
      </c>
      <c r="L105" s="22">
        <f t="shared" si="9"/>
        <v>1.4455510594905709E-3</v>
      </c>
      <c r="M105" s="22">
        <f t="shared" si="10"/>
        <v>7.516865509350968E-4</v>
      </c>
      <c r="N105" s="22">
        <f t="shared" si="11"/>
        <v>3.9087700648625043E-4</v>
      </c>
      <c r="O105" s="22">
        <f t="shared" si="12"/>
        <v>2.0325604337285023E-4</v>
      </c>
    </row>
    <row r="106" spans="1:15" ht="15" x14ac:dyDescent="0.25">
      <c r="A106" s="22">
        <f t="shared" si="13"/>
        <v>53</v>
      </c>
      <c r="B106" s="22">
        <v>1</v>
      </c>
      <c r="C106" s="22">
        <f t="shared" si="0"/>
        <v>0.53</v>
      </c>
      <c r="D106" s="22">
        <f t="shared" si="1"/>
        <v>0.28090000000000004</v>
      </c>
      <c r="E106" s="22">
        <f t="shared" si="2"/>
        <v>0.14887700000000004</v>
      </c>
      <c r="F106" s="22">
        <f t="shared" si="3"/>
        <v>7.890481000000002E-2</v>
      </c>
      <c r="G106" s="22">
        <f t="shared" si="4"/>
        <v>4.1819549300000015E-2</v>
      </c>
      <c r="H106" s="22">
        <f t="shared" si="5"/>
        <v>2.2164361129000009E-2</v>
      </c>
      <c r="I106" s="22">
        <f t="shared" si="6"/>
        <v>1.1747111398370006E-2</v>
      </c>
      <c r="J106" s="22">
        <f t="shared" si="7"/>
        <v>6.2259690411361028E-3</v>
      </c>
      <c r="K106" s="22">
        <f t="shared" si="8"/>
        <v>3.2997635918021345E-3</v>
      </c>
      <c r="L106" s="22">
        <f t="shared" si="9"/>
        <v>1.7488747036551314E-3</v>
      </c>
      <c r="M106" s="22">
        <f t="shared" si="10"/>
        <v>9.269035929372198E-4</v>
      </c>
      <c r="N106" s="22">
        <f t="shared" si="11"/>
        <v>4.9125890425672652E-4</v>
      </c>
      <c r="O106" s="22">
        <f t="shared" si="12"/>
        <v>2.6036721925606508E-4</v>
      </c>
    </row>
    <row r="107" spans="1:15" ht="15" x14ac:dyDescent="0.25">
      <c r="A107" s="22">
        <f t="shared" si="13"/>
        <v>54</v>
      </c>
      <c r="B107" s="22">
        <v>1</v>
      </c>
      <c r="C107" s="22">
        <f t="shared" si="0"/>
        <v>0.54</v>
      </c>
      <c r="D107" s="22">
        <f t="shared" si="1"/>
        <v>0.29160000000000003</v>
      </c>
      <c r="E107" s="22">
        <f t="shared" si="2"/>
        <v>0.15746400000000002</v>
      </c>
      <c r="F107" s="22">
        <f t="shared" si="3"/>
        <v>8.5030560000000019E-2</v>
      </c>
      <c r="G107" s="22">
        <f t="shared" si="4"/>
        <v>4.591650240000001E-2</v>
      </c>
      <c r="H107" s="22">
        <f t="shared" si="5"/>
        <v>2.4794911296000009E-2</v>
      </c>
      <c r="I107" s="22">
        <f t="shared" si="6"/>
        <v>1.3389252099840005E-2</v>
      </c>
      <c r="J107" s="22">
        <f t="shared" si="7"/>
        <v>7.2301961339136028E-3</v>
      </c>
      <c r="K107" s="22">
        <f t="shared" si="8"/>
        <v>3.9043059123133458E-3</v>
      </c>
      <c r="L107" s="22">
        <f t="shared" si="9"/>
        <v>2.1083251926492068E-3</v>
      </c>
      <c r="M107" s="22">
        <f t="shared" si="10"/>
        <v>1.1384956040305717E-3</v>
      </c>
      <c r="N107" s="22">
        <f t="shared" si="11"/>
        <v>6.1478762617650875E-4</v>
      </c>
      <c r="O107" s="22">
        <f t="shared" si="12"/>
        <v>3.3198531813531472E-4</v>
      </c>
    </row>
    <row r="108" spans="1:15" ht="15" x14ac:dyDescent="0.25">
      <c r="A108" s="22">
        <f t="shared" si="13"/>
        <v>55</v>
      </c>
      <c r="B108" s="22">
        <v>1</v>
      </c>
      <c r="C108" s="22">
        <f t="shared" si="0"/>
        <v>0.55000000000000004</v>
      </c>
      <c r="D108" s="22">
        <f t="shared" si="1"/>
        <v>0.30250000000000005</v>
      </c>
      <c r="E108" s="22">
        <f t="shared" si="2"/>
        <v>0.16637500000000005</v>
      </c>
      <c r="F108" s="22">
        <f t="shared" si="3"/>
        <v>9.1506250000000025E-2</v>
      </c>
      <c r="G108" s="22">
        <f t="shared" si="4"/>
        <v>5.0328437500000017E-2</v>
      </c>
      <c r="H108" s="22">
        <f t="shared" si="5"/>
        <v>2.7680640625000013E-2</v>
      </c>
      <c r="I108" s="22">
        <f t="shared" si="6"/>
        <v>1.5224352343750009E-2</v>
      </c>
      <c r="J108" s="22">
        <f t="shared" si="7"/>
        <v>8.3733937890625044E-3</v>
      </c>
      <c r="K108" s="22">
        <f t="shared" si="8"/>
        <v>4.6053665839843778E-3</v>
      </c>
      <c r="L108" s="22">
        <f t="shared" si="9"/>
        <v>2.5329516211914081E-3</v>
      </c>
      <c r="M108" s="22">
        <f t="shared" si="10"/>
        <v>1.3931233916552746E-3</v>
      </c>
      <c r="N108" s="22">
        <f t="shared" si="11"/>
        <v>7.6621786541040103E-4</v>
      </c>
      <c r="O108" s="22">
        <f t="shared" si="12"/>
        <v>4.2141982597572057E-4</v>
      </c>
    </row>
    <row r="109" spans="1:15" ht="15" x14ac:dyDescent="0.25">
      <c r="A109" s="22">
        <f t="shared" si="13"/>
        <v>56</v>
      </c>
      <c r="B109" s="22">
        <v>1</v>
      </c>
      <c r="C109" s="22">
        <f t="shared" si="0"/>
        <v>0.56000000000000005</v>
      </c>
      <c r="D109" s="22">
        <f t="shared" si="1"/>
        <v>0.31360000000000005</v>
      </c>
      <c r="E109" s="22">
        <f t="shared" si="2"/>
        <v>0.17561600000000005</v>
      </c>
      <c r="F109" s="22">
        <f t="shared" si="3"/>
        <v>9.8344960000000023E-2</v>
      </c>
      <c r="G109" s="22">
        <f t="shared" si="4"/>
        <v>5.5073177600000016E-2</v>
      </c>
      <c r="H109" s="22">
        <f t="shared" si="5"/>
        <v>3.0840979456000013E-2</v>
      </c>
      <c r="I109" s="22">
        <f t="shared" si="6"/>
        <v>1.7270948495360008E-2</v>
      </c>
      <c r="J109" s="22">
        <f t="shared" si="7"/>
        <v>9.671731157401605E-3</v>
      </c>
      <c r="K109" s="22">
        <f t="shared" si="8"/>
        <v>5.416169448144899E-3</v>
      </c>
      <c r="L109" s="22">
        <f t="shared" si="9"/>
        <v>3.0330548909611437E-3</v>
      </c>
      <c r="M109" s="22">
        <f t="shared" si="10"/>
        <v>1.6985107389382408E-3</v>
      </c>
      <c r="N109" s="22">
        <f t="shared" si="11"/>
        <v>9.5116601380541474E-4</v>
      </c>
      <c r="O109" s="22">
        <f t="shared" si="12"/>
        <v>5.3265296773103235E-4</v>
      </c>
    </row>
    <row r="110" spans="1:15" ht="15" x14ac:dyDescent="0.25">
      <c r="A110" s="22">
        <f t="shared" si="13"/>
        <v>57</v>
      </c>
      <c r="B110" s="22">
        <v>1</v>
      </c>
      <c r="C110" s="22">
        <f t="shared" si="0"/>
        <v>0.57000000000000006</v>
      </c>
      <c r="D110" s="22">
        <f t="shared" si="1"/>
        <v>0.32490000000000008</v>
      </c>
      <c r="E110" s="22">
        <f t="shared" si="2"/>
        <v>0.18519300000000005</v>
      </c>
      <c r="F110" s="22">
        <f t="shared" si="3"/>
        <v>0.10556001000000005</v>
      </c>
      <c r="G110" s="22">
        <f t="shared" si="4"/>
        <v>6.0169205700000034E-2</v>
      </c>
      <c r="H110" s="22">
        <f t="shared" si="5"/>
        <v>3.4296447249000023E-2</v>
      </c>
      <c r="I110" s="22">
        <f t="shared" si="6"/>
        <v>1.9548974931930016E-2</v>
      </c>
      <c r="J110" s="22">
        <f t="shared" si="7"/>
        <v>1.1142915711200111E-2</v>
      </c>
      <c r="K110" s="22">
        <f t="shared" si="8"/>
        <v>6.3514619553840636E-3</v>
      </c>
      <c r="L110" s="22">
        <f t="shared" si="9"/>
        <v>3.6203333145689168E-3</v>
      </c>
      <c r="M110" s="22">
        <f t="shared" si="10"/>
        <v>2.0635899893042828E-3</v>
      </c>
      <c r="N110" s="22">
        <f t="shared" si="11"/>
        <v>1.1762462939034414E-3</v>
      </c>
      <c r="O110" s="22">
        <f t="shared" si="12"/>
        <v>6.7046038752496167E-4</v>
      </c>
    </row>
    <row r="111" spans="1:15" ht="15" x14ac:dyDescent="0.25">
      <c r="A111" s="22">
        <f t="shared" si="13"/>
        <v>58</v>
      </c>
      <c r="B111" s="22">
        <v>1</v>
      </c>
      <c r="C111" s="22">
        <f t="shared" si="0"/>
        <v>0.57999999999999996</v>
      </c>
      <c r="D111" s="22">
        <f t="shared" si="1"/>
        <v>0.33639999999999998</v>
      </c>
      <c r="E111" s="22">
        <f t="shared" si="2"/>
        <v>0.19511199999999998</v>
      </c>
      <c r="F111" s="22">
        <f t="shared" si="3"/>
        <v>0.11316495999999998</v>
      </c>
      <c r="G111" s="22">
        <f t="shared" si="4"/>
        <v>6.5635676799999987E-2</v>
      </c>
      <c r="H111" s="22">
        <f t="shared" si="5"/>
        <v>3.8068692543999992E-2</v>
      </c>
      <c r="I111" s="22">
        <f t="shared" si="6"/>
        <v>2.2079841675519993E-2</v>
      </c>
      <c r="J111" s="22">
        <f t="shared" si="7"/>
        <v>1.2806308171801596E-2</v>
      </c>
      <c r="K111" s="22">
        <f t="shared" si="8"/>
        <v>7.4276587396449253E-3</v>
      </c>
      <c r="L111" s="22">
        <f t="shared" si="9"/>
        <v>4.3080420689940568E-3</v>
      </c>
      <c r="M111" s="22">
        <f t="shared" si="10"/>
        <v>2.4986644000165527E-3</v>
      </c>
      <c r="N111" s="22">
        <f t="shared" si="11"/>
        <v>1.4492253520096005E-3</v>
      </c>
      <c r="O111" s="22">
        <f t="shared" si="12"/>
        <v>8.4055070416556822E-4</v>
      </c>
    </row>
    <row r="112" spans="1:15" ht="15" x14ac:dyDescent="0.25">
      <c r="A112" s="22">
        <f t="shared" si="13"/>
        <v>59</v>
      </c>
      <c r="B112" s="22">
        <v>1</v>
      </c>
      <c r="C112" s="22">
        <f t="shared" si="0"/>
        <v>0.59</v>
      </c>
      <c r="D112" s="22">
        <f t="shared" si="1"/>
        <v>0.34809999999999997</v>
      </c>
      <c r="E112" s="22">
        <f t="shared" si="2"/>
        <v>0.20537899999999998</v>
      </c>
      <c r="F112" s="22">
        <f t="shared" si="3"/>
        <v>0.12117360999999997</v>
      </c>
      <c r="G112" s="22">
        <f t="shared" si="4"/>
        <v>7.1492429899999974E-2</v>
      </c>
      <c r="H112" s="22">
        <f t="shared" si="5"/>
        <v>4.2180533640999988E-2</v>
      </c>
      <c r="I112" s="22">
        <f t="shared" si="6"/>
        <v>2.4886514848189992E-2</v>
      </c>
      <c r="J112" s="22">
        <f t="shared" si="7"/>
        <v>1.4683043760432094E-2</v>
      </c>
      <c r="K112" s="22">
        <f t="shared" si="8"/>
        <v>8.6629958186549352E-3</v>
      </c>
      <c r="L112" s="22">
        <f t="shared" si="9"/>
        <v>5.1111675330064114E-3</v>
      </c>
      <c r="M112" s="22">
        <f t="shared" si="10"/>
        <v>3.0155888444737826E-3</v>
      </c>
      <c r="N112" s="22">
        <f t="shared" si="11"/>
        <v>1.7791974182395315E-3</v>
      </c>
      <c r="O112" s="22">
        <f t="shared" si="12"/>
        <v>1.0497264767613235E-3</v>
      </c>
    </row>
    <row r="113" spans="1:15" ht="15" x14ac:dyDescent="0.25">
      <c r="A113" s="22">
        <f t="shared" si="13"/>
        <v>60</v>
      </c>
      <c r="B113" s="22">
        <v>1</v>
      </c>
      <c r="C113" s="22">
        <f t="shared" si="0"/>
        <v>0.6</v>
      </c>
      <c r="D113" s="22">
        <f t="shared" si="1"/>
        <v>0.36</v>
      </c>
      <c r="E113" s="22">
        <f t="shared" si="2"/>
        <v>0.216</v>
      </c>
      <c r="F113" s="22">
        <f t="shared" si="3"/>
        <v>0.12959999999999999</v>
      </c>
      <c r="G113" s="22">
        <f t="shared" si="4"/>
        <v>7.7759999999999996E-2</v>
      </c>
      <c r="H113" s="22">
        <f t="shared" si="5"/>
        <v>4.6655999999999996E-2</v>
      </c>
      <c r="I113" s="22">
        <f t="shared" si="6"/>
        <v>2.7993599999999997E-2</v>
      </c>
      <c r="J113" s="22">
        <f t="shared" si="7"/>
        <v>1.6796159999999997E-2</v>
      </c>
      <c r="K113" s="22">
        <f t="shared" si="8"/>
        <v>1.0077695999999999E-2</v>
      </c>
      <c r="L113" s="22">
        <f t="shared" si="9"/>
        <v>6.0466175999999991E-3</v>
      </c>
      <c r="M113" s="22">
        <f t="shared" si="10"/>
        <v>3.6279705599999994E-3</v>
      </c>
      <c r="N113" s="22">
        <f t="shared" si="11"/>
        <v>2.1767823359999995E-3</v>
      </c>
      <c r="O113" s="22">
        <f t="shared" si="12"/>
        <v>1.3060694015999998E-3</v>
      </c>
    </row>
    <row r="114" spans="1:15" ht="15" x14ac:dyDescent="0.25">
      <c r="A114" s="22">
        <f t="shared" si="13"/>
        <v>61</v>
      </c>
      <c r="B114" s="22">
        <v>1</v>
      </c>
      <c r="C114" s="22">
        <f t="shared" si="0"/>
        <v>0.61</v>
      </c>
      <c r="D114" s="22">
        <f t="shared" si="1"/>
        <v>0.37209999999999999</v>
      </c>
      <c r="E114" s="22">
        <f t="shared" si="2"/>
        <v>0.22698099999999999</v>
      </c>
      <c r="F114" s="22">
        <f t="shared" si="3"/>
        <v>0.13845840999999998</v>
      </c>
      <c r="G114" s="22">
        <f t="shared" si="4"/>
        <v>8.4459630099999988E-2</v>
      </c>
      <c r="H114" s="22">
        <f t="shared" si="5"/>
        <v>5.1520374360999988E-2</v>
      </c>
      <c r="I114" s="22">
        <f t="shared" si="6"/>
        <v>3.1427428360209994E-2</v>
      </c>
      <c r="J114" s="22">
        <f t="shared" si="7"/>
        <v>1.9170731299728093E-2</v>
      </c>
      <c r="K114" s="22">
        <f t="shared" si="8"/>
        <v>1.1694146092834137E-2</v>
      </c>
      <c r="L114" s="22">
        <f t="shared" si="9"/>
        <v>7.1334291166288231E-3</v>
      </c>
      <c r="M114" s="22">
        <f t="shared" si="10"/>
        <v>4.3513917611435818E-3</v>
      </c>
      <c r="N114" s="22">
        <f t="shared" si="11"/>
        <v>2.6543489742975848E-3</v>
      </c>
      <c r="O114" s="22">
        <f t="shared" si="12"/>
        <v>1.6191528743215266E-3</v>
      </c>
    </row>
    <row r="115" spans="1:15" ht="15" x14ac:dyDescent="0.25">
      <c r="A115" s="22">
        <f t="shared" si="13"/>
        <v>62</v>
      </c>
      <c r="B115" s="22">
        <v>1</v>
      </c>
      <c r="C115" s="22">
        <f t="shared" si="0"/>
        <v>0.62</v>
      </c>
      <c r="D115" s="22">
        <f t="shared" si="1"/>
        <v>0.38440000000000002</v>
      </c>
      <c r="E115" s="22">
        <f t="shared" si="2"/>
        <v>0.23832800000000001</v>
      </c>
      <c r="F115" s="22">
        <f t="shared" si="3"/>
        <v>0.14776336000000001</v>
      </c>
      <c r="G115" s="22">
        <f t="shared" si="4"/>
        <v>9.1613283200000006E-2</v>
      </c>
      <c r="H115" s="22">
        <f t="shared" si="5"/>
        <v>5.6800235584000006E-2</v>
      </c>
      <c r="I115" s="22">
        <f t="shared" si="6"/>
        <v>3.5216146062080005E-2</v>
      </c>
      <c r="J115" s="22">
        <f t="shared" si="7"/>
        <v>2.1834010558489603E-2</v>
      </c>
      <c r="K115" s="22">
        <f t="shared" si="8"/>
        <v>1.3537086546263554E-2</v>
      </c>
      <c r="L115" s="22">
        <f t="shared" si="9"/>
        <v>8.3929936586834043E-3</v>
      </c>
      <c r="M115" s="22">
        <f t="shared" si="10"/>
        <v>5.2036560683837102E-3</v>
      </c>
      <c r="N115" s="22">
        <f t="shared" si="11"/>
        <v>3.2262667623979007E-3</v>
      </c>
      <c r="O115" s="22">
        <f t="shared" si="12"/>
        <v>2.0002853926866983E-3</v>
      </c>
    </row>
    <row r="116" spans="1:15" ht="15" x14ac:dyDescent="0.25">
      <c r="A116" s="22">
        <f t="shared" si="13"/>
        <v>63</v>
      </c>
      <c r="B116" s="22">
        <v>1</v>
      </c>
      <c r="C116" s="22">
        <f t="shared" si="0"/>
        <v>0.63</v>
      </c>
      <c r="D116" s="22">
        <f t="shared" si="1"/>
        <v>0.39690000000000003</v>
      </c>
      <c r="E116" s="22">
        <f t="shared" si="2"/>
        <v>0.25004700000000002</v>
      </c>
      <c r="F116" s="22">
        <f t="shared" si="3"/>
        <v>0.15752961000000001</v>
      </c>
      <c r="G116" s="22">
        <f t="shared" si="4"/>
        <v>9.9243654300000012E-2</v>
      </c>
      <c r="H116" s="22">
        <f t="shared" si="5"/>
        <v>6.2523502209000006E-2</v>
      </c>
      <c r="I116" s="22">
        <f t="shared" si="6"/>
        <v>3.9389806391670008E-2</v>
      </c>
      <c r="J116" s="22">
        <f t="shared" si="7"/>
        <v>2.4815578026752105E-2</v>
      </c>
      <c r="K116" s="22">
        <f t="shared" si="8"/>
        <v>1.5633814156853828E-2</v>
      </c>
      <c r="L116" s="22">
        <f t="shared" si="9"/>
        <v>9.8493029188179114E-3</v>
      </c>
      <c r="M116" s="22">
        <f t="shared" si="10"/>
        <v>6.2050608388552839E-3</v>
      </c>
      <c r="N116" s="22">
        <f t="shared" si="11"/>
        <v>3.9091883284788293E-3</v>
      </c>
      <c r="O116" s="22">
        <f t="shared" si="12"/>
        <v>2.4627886469416622E-3</v>
      </c>
    </row>
    <row r="117" spans="1:15" ht="15" x14ac:dyDescent="0.25">
      <c r="A117" s="22">
        <f t="shared" si="13"/>
        <v>64</v>
      </c>
      <c r="B117" s="22">
        <v>1</v>
      </c>
      <c r="C117" s="22">
        <f t="shared" si="0"/>
        <v>0.64</v>
      </c>
      <c r="D117" s="22">
        <f t="shared" si="1"/>
        <v>0.40960000000000002</v>
      </c>
      <c r="E117" s="22">
        <f t="shared" si="2"/>
        <v>0.26214400000000004</v>
      </c>
      <c r="F117" s="22">
        <f t="shared" si="3"/>
        <v>0.16777216</v>
      </c>
      <c r="G117" s="22">
        <f t="shared" si="4"/>
        <v>0.1073741824</v>
      </c>
      <c r="H117" s="22">
        <f t="shared" si="5"/>
        <v>6.8719476735999999E-2</v>
      </c>
      <c r="I117" s="22">
        <f t="shared" si="6"/>
        <v>4.3980465111040007E-2</v>
      </c>
      <c r="J117" s="22">
        <f t="shared" si="7"/>
        <v>2.8147497671065603E-2</v>
      </c>
      <c r="K117" s="22">
        <f t="shared" si="8"/>
        <v>1.8014398509481985E-2</v>
      </c>
      <c r="L117" s="22">
        <f t="shared" si="9"/>
        <v>1.1529215046068471E-2</v>
      </c>
      <c r="M117" s="22">
        <f t="shared" si="10"/>
        <v>7.3786976294838227E-3</v>
      </c>
      <c r="N117" s="22">
        <f t="shared" si="11"/>
        <v>4.7223664828696457E-3</v>
      </c>
      <c r="O117" s="22">
        <f t="shared" si="12"/>
        <v>3.0223145490365735E-3</v>
      </c>
    </row>
    <row r="118" spans="1:15" ht="15" x14ac:dyDescent="0.25">
      <c r="A118" s="22">
        <f t="shared" si="13"/>
        <v>65</v>
      </c>
      <c r="B118" s="22">
        <v>1</v>
      </c>
      <c r="C118" s="22">
        <f t="shared" ref="C118:C153" si="14">A118*0.01</f>
        <v>0.65</v>
      </c>
      <c r="D118" s="22">
        <f t="shared" ref="D118:D153" si="15">POWER(C118,2)</f>
        <v>0.42250000000000004</v>
      </c>
      <c r="E118" s="22">
        <f t="shared" ref="E118:E153" si="16">POWER(C118,3)</f>
        <v>0.27462500000000006</v>
      </c>
      <c r="F118" s="22">
        <f t="shared" ref="F118:F153" si="17">POWER(C118,4)</f>
        <v>0.17850625000000003</v>
      </c>
      <c r="G118" s="22">
        <f t="shared" ref="G118:G153" si="18">POWER(C118,5)</f>
        <v>0.11602906250000003</v>
      </c>
      <c r="H118" s="22">
        <f t="shared" ref="H118:H153" si="19">POWER(C118,6)</f>
        <v>7.5418890625000026E-2</v>
      </c>
      <c r="I118" s="22">
        <f t="shared" ref="I118:I153" si="20">POWER(C118,7)</f>
        <v>4.9022278906250022E-2</v>
      </c>
      <c r="J118" s="22">
        <f t="shared" ref="J118:J153" si="21">POWER(C118,8)</f>
        <v>3.186448128906251E-2</v>
      </c>
      <c r="K118" s="22">
        <f t="shared" ref="K118:K153" si="22">POWER(C118,9)</f>
        <v>2.0711912837890631E-2</v>
      </c>
      <c r="L118" s="22">
        <f t="shared" ref="L118:L153" si="23">POWER(C118,10)</f>
        <v>1.3462743344628911E-2</v>
      </c>
      <c r="M118" s="22">
        <f t="shared" ref="M118:M153" si="24">POWER(C118,11)</f>
        <v>8.7507831740087933E-3</v>
      </c>
      <c r="N118" s="22">
        <f t="shared" ref="N118:N153" si="25">POWER(C118,12)</f>
        <v>5.6880090631057159E-3</v>
      </c>
      <c r="O118" s="22">
        <f t="shared" ref="O118:O153" si="26">POWER(C118,13)</f>
        <v>3.6972058910187157E-3</v>
      </c>
    </row>
    <row r="119" spans="1:15" ht="15" x14ac:dyDescent="0.25">
      <c r="A119" s="22">
        <f t="shared" ref="A119:A153" si="27">A118+1</f>
        <v>66</v>
      </c>
      <c r="B119" s="22">
        <v>1</v>
      </c>
      <c r="C119" s="22">
        <f t="shared" si="14"/>
        <v>0.66</v>
      </c>
      <c r="D119" s="22">
        <f t="shared" si="15"/>
        <v>0.43560000000000004</v>
      </c>
      <c r="E119" s="22">
        <f t="shared" si="16"/>
        <v>0.28749600000000003</v>
      </c>
      <c r="F119" s="22">
        <f t="shared" si="17"/>
        <v>0.18974736000000003</v>
      </c>
      <c r="G119" s="22">
        <f t="shared" si="18"/>
        <v>0.12523325760000004</v>
      </c>
      <c r="H119" s="22">
        <f t="shared" si="19"/>
        <v>8.2653950016000025E-2</v>
      </c>
      <c r="I119" s="22">
        <f t="shared" si="20"/>
        <v>5.4551607010560013E-2</v>
      </c>
      <c r="J119" s="22">
        <f t="shared" si="21"/>
        <v>3.6004060626969613E-2</v>
      </c>
      <c r="K119" s="22">
        <f t="shared" si="22"/>
        <v>2.3762680013799945E-2</v>
      </c>
      <c r="L119" s="22">
        <f t="shared" si="23"/>
        <v>1.5683368809107964E-2</v>
      </c>
      <c r="M119" s="22">
        <f t="shared" si="24"/>
        <v>1.0351023414011257E-2</v>
      </c>
      <c r="N119" s="22">
        <f t="shared" si="25"/>
        <v>6.8316754532474298E-3</v>
      </c>
      <c r="O119" s="22">
        <f t="shared" si="26"/>
        <v>4.5089057991433042E-3</v>
      </c>
    </row>
    <row r="120" spans="1:15" ht="15" x14ac:dyDescent="0.25">
      <c r="A120" s="22">
        <f t="shared" si="27"/>
        <v>67</v>
      </c>
      <c r="B120" s="22">
        <v>1</v>
      </c>
      <c r="C120" s="22">
        <f t="shared" si="14"/>
        <v>0.67</v>
      </c>
      <c r="D120" s="22">
        <f t="shared" si="15"/>
        <v>0.44890000000000008</v>
      </c>
      <c r="E120" s="22">
        <f t="shared" si="16"/>
        <v>0.30076300000000006</v>
      </c>
      <c r="F120" s="22">
        <f t="shared" si="17"/>
        <v>0.20151121000000008</v>
      </c>
      <c r="G120" s="22">
        <f t="shared" si="18"/>
        <v>0.13501251070000006</v>
      </c>
      <c r="H120" s="22">
        <f t="shared" si="19"/>
        <v>9.0458382169000054E-2</v>
      </c>
      <c r="I120" s="22">
        <f t="shared" si="20"/>
        <v>6.0607116053230034E-2</v>
      </c>
      <c r="J120" s="22">
        <f t="shared" si="21"/>
        <v>4.060676775566413E-2</v>
      </c>
      <c r="K120" s="22">
        <f t="shared" si="22"/>
        <v>2.720653439629497E-2</v>
      </c>
      <c r="L120" s="22">
        <f t="shared" si="23"/>
        <v>1.8228378045517631E-2</v>
      </c>
      <c r="M120" s="22">
        <f t="shared" si="24"/>
        <v>1.2213013290496812E-2</v>
      </c>
      <c r="N120" s="22">
        <f t="shared" si="25"/>
        <v>8.1827189046328672E-3</v>
      </c>
      <c r="O120" s="22">
        <f t="shared" si="26"/>
        <v>5.4824216661040212E-3</v>
      </c>
    </row>
    <row r="121" spans="1:15" ht="15" x14ac:dyDescent="0.25">
      <c r="A121" s="22">
        <f t="shared" si="27"/>
        <v>68</v>
      </c>
      <c r="B121" s="22">
        <v>1</v>
      </c>
      <c r="C121" s="22">
        <f t="shared" si="14"/>
        <v>0.68</v>
      </c>
      <c r="D121" s="22">
        <f t="shared" si="15"/>
        <v>0.46240000000000009</v>
      </c>
      <c r="E121" s="22">
        <f t="shared" si="16"/>
        <v>0.3144320000000001</v>
      </c>
      <c r="F121" s="22">
        <f t="shared" si="17"/>
        <v>0.21381376000000007</v>
      </c>
      <c r="G121" s="22">
        <f t="shared" si="18"/>
        <v>0.14539335680000007</v>
      </c>
      <c r="H121" s="22">
        <f t="shared" si="19"/>
        <v>9.8867482624000053E-2</v>
      </c>
      <c r="I121" s="22">
        <f t="shared" si="20"/>
        <v>6.7229888184320047E-2</v>
      </c>
      <c r="J121" s="22">
        <f t="shared" si="21"/>
        <v>4.5716323965337632E-2</v>
      </c>
      <c r="K121" s="22">
        <f t="shared" si="22"/>
        <v>3.1087100296429592E-2</v>
      </c>
      <c r="L121" s="22">
        <f t="shared" si="23"/>
        <v>2.1139228201572127E-2</v>
      </c>
      <c r="M121" s="22">
        <f t="shared" si="24"/>
        <v>1.4374675177069047E-2</v>
      </c>
      <c r="N121" s="22">
        <f t="shared" si="25"/>
        <v>9.7747791204069526E-3</v>
      </c>
      <c r="O121" s="22">
        <f t="shared" si="26"/>
        <v>6.646849801876728E-3</v>
      </c>
    </row>
    <row r="122" spans="1:15" ht="15" x14ac:dyDescent="0.25">
      <c r="A122" s="22">
        <f t="shared" si="27"/>
        <v>69</v>
      </c>
      <c r="B122" s="22">
        <v>1</v>
      </c>
      <c r="C122" s="22">
        <f t="shared" si="14"/>
        <v>0.69000000000000006</v>
      </c>
      <c r="D122" s="22">
        <f t="shared" si="15"/>
        <v>0.47610000000000008</v>
      </c>
      <c r="E122" s="22">
        <f t="shared" si="16"/>
        <v>0.32850900000000011</v>
      </c>
      <c r="F122" s="22">
        <f t="shared" si="17"/>
        <v>0.22667121000000007</v>
      </c>
      <c r="G122" s="22">
        <f t="shared" si="18"/>
        <v>0.15640313490000005</v>
      </c>
      <c r="H122" s="22">
        <f t="shared" si="19"/>
        <v>0.10791816308100005</v>
      </c>
      <c r="I122" s="22">
        <f t="shared" si="20"/>
        <v>7.4463532525890053E-2</v>
      </c>
      <c r="J122" s="22">
        <f t="shared" si="21"/>
        <v>5.1379837442864132E-2</v>
      </c>
      <c r="K122" s="22">
        <f t="shared" si="22"/>
        <v>3.5452087835576254E-2</v>
      </c>
      <c r="L122" s="22">
        <f t="shared" si="23"/>
        <v>2.4461940606547616E-2</v>
      </c>
      <c r="M122" s="22">
        <f t="shared" si="24"/>
        <v>1.6878739018517858E-2</v>
      </c>
      <c r="N122" s="22">
        <f t="shared" si="25"/>
        <v>1.1646329922777322E-2</v>
      </c>
      <c r="O122" s="22">
        <f t="shared" si="26"/>
        <v>8.0359676467163521E-3</v>
      </c>
    </row>
    <row r="123" spans="1:15" ht="15" x14ac:dyDescent="0.25">
      <c r="A123" s="22">
        <f t="shared" si="27"/>
        <v>70</v>
      </c>
      <c r="B123" s="22">
        <v>1</v>
      </c>
      <c r="C123" s="22">
        <f t="shared" si="14"/>
        <v>0.70000000000000007</v>
      </c>
      <c r="D123" s="22">
        <f t="shared" si="15"/>
        <v>0.4900000000000001</v>
      </c>
      <c r="E123" s="22">
        <f t="shared" si="16"/>
        <v>0.34300000000000008</v>
      </c>
      <c r="F123" s="22">
        <f t="shared" si="17"/>
        <v>0.24010000000000009</v>
      </c>
      <c r="G123" s="22">
        <f t="shared" si="18"/>
        <v>0.16807000000000008</v>
      </c>
      <c r="H123" s="22">
        <f t="shared" si="19"/>
        <v>0.11764900000000007</v>
      </c>
      <c r="I123" s="22">
        <f t="shared" si="20"/>
        <v>8.2354300000000047E-2</v>
      </c>
      <c r="J123" s="22">
        <f t="shared" si="21"/>
        <v>5.7648010000000041E-2</v>
      </c>
      <c r="K123" s="22">
        <f t="shared" si="22"/>
        <v>4.0353607000000034E-2</v>
      </c>
      <c r="L123" s="22">
        <f t="shared" si="23"/>
        <v>2.8247524900000025E-2</v>
      </c>
      <c r="M123" s="22">
        <f t="shared" si="24"/>
        <v>1.9773267430000019E-2</v>
      </c>
      <c r="N123" s="22">
        <f t="shared" si="25"/>
        <v>1.3841287201000016E-2</v>
      </c>
      <c r="O123" s="22">
        <f t="shared" si="26"/>
        <v>9.6889010407000108E-3</v>
      </c>
    </row>
    <row r="124" spans="1:15" ht="15" x14ac:dyDescent="0.25">
      <c r="A124" s="22">
        <f t="shared" si="27"/>
        <v>71</v>
      </c>
      <c r="B124" s="22">
        <v>1</v>
      </c>
      <c r="C124" s="22">
        <f t="shared" si="14"/>
        <v>0.71</v>
      </c>
      <c r="D124" s="22">
        <f t="shared" si="15"/>
        <v>0.50409999999999999</v>
      </c>
      <c r="E124" s="22">
        <f t="shared" si="16"/>
        <v>0.35791099999999998</v>
      </c>
      <c r="F124" s="22">
        <f t="shared" si="17"/>
        <v>0.25411680999999997</v>
      </c>
      <c r="G124" s="22">
        <f t="shared" si="18"/>
        <v>0.18042293509999996</v>
      </c>
      <c r="H124" s="22">
        <f t="shared" si="19"/>
        <v>0.12810028392099998</v>
      </c>
      <c r="I124" s="22">
        <f t="shared" si="20"/>
        <v>9.0951201583909985E-2</v>
      </c>
      <c r="J124" s="22">
        <f t="shared" si="21"/>
        <v>6.4575353124576088E-2</v>
      </c>
      <c r="K124" s="22">
        <f t="shared" si="22"/>
        <v>4.5848500718449023E-2</v>
      </c>
      <c r="L124" s="22">
        <f t="shared" si="23"/>
        <v>3.2552435510098808E-2</v>
      </c>
      <c r="M124" s="22">
        <f t="shared" si="24"/>
        <v>2.3112229212170151E-2</v>
      </c>
      <c r="N124" s="22">
        <f t="shared" si="25"/>
        <v>1.6409682740640807E-2</v>
      </c>
      <c r="O124" s="22">
        <f t="shared" si="26"/>
        <v>1.1650874745854972E-2</v>
      </c>
    </row>
    <row r="125" spans="1:15" ht="15" x14ac:dyDescent="0.25">
      <c r="A125" s="22">
        <f t="shared" si="27"/>
        <v>72</v>
      </c>
      <c r="B125" s="22">
        <v>1</v>
      </c>
      <c r="C125" s="22">
        <f t="shared" si="14"/>
        <v>0.72</v>
      </c>
      <c r="D125" s="22">
        <f t="shared" si="15"/>
        <v>0.51839999999999997</v>
      </c>
      <c r="E125" s="22">
        <f t="shared" si="16"/>
        <v>0.37324799999999997</v>
      </c>
      <c r="F125" s="22">
        <f t="shared" si="17"/>
        <v>0.26873855999999996</v>
      </c>
      <c r="G125" s="22">
        <f t="shared" si="18"/>
        <v>0.19349176319999997</v>
      </c>
      <c r="H125" s="22">
        <f t="shared" si="19"/>
        <v>0.13931406950399997</v>
      </c>
      <c r="I125" s="22">
        <f t="shared" si="20"/>
        <v>0.10030613004287997</v>
      </c>
      <c r="J125" s="22">
        <f t="shared" si="21"/>
        <v>7.2220413630873573E-2</v>
      </c>
      <c r="K125" s="22">
        <f t="shared" si="22"/>
        <v>5.1998697814228972E-2</v>
      </c>
      <c r="L125" s="22">
        <f t="shared" si="23"/>
        <v>3.7439062426244861E-2</v>
      </c>
      <c r="M125" s="22">
        <f t="shared" si="24"/>
        <v>2.6956124946896295E-2</v>
      </c>
      <c r="N125" s="22">
        <f t="shared" si="25"/>
        <v>1.9408409961765332E-2</v>
      </c>
      <c r="O125" s="22">
        <f t="shared" si="26"/>
        <v>1.397405517247104E-2</v>
      </c>
    </row>
    <row r="126" spans="1:15" ht="15" x14ac:dyDescent="0.25">
      <c r="A126" s="22">
        <f t="shared" si="27"/>
        <v>73</v>
      </c>
      <c r="B126" s="22">
        <v>1</v>
      </c>
      <c r="C126" s="22">
        <f t="shared" si="14"/>
        <v>0.73</v>
      </c>
      <c r="D126" s="22">
        <f t="shared" si="15"/>
        <v>0.53289999999999993</v>
      </c>
      <c r="E126" s="22">
        <f t="shared" si="16"/>
        <v>0.38901699999999995</v>
      </c>
      <c r="F126" s="22">
        <f t="shared" si="17"/>
        <v>0.28398240999999991</v>
      </c>
      <c r="G126" s="22">
        <f t="shared" si="18"/>
        <v>0.20730715929999993</v>
      </c>
      <c r="H126" s="22">
        <f t="shared" si="19"/>
        <v>0.15133422628899992</v>
      </c>
      <c r="I126" s="22">
        <f t="shared" si="20"/>
        <v>0.11047398519096994</v>
      </c>
      <c r="J126" s="22">
        <f t="shared" si="21"/>
        <v>8.0646009189408049E-2</v>
      </c>
      <c r="K126" s="22">
        <f t="shared" si="22"/>
        <v>5.8871586708267871E-2</v>
      </c>
      <c r="L126" s="22">
        <f t="shared" si="23"/>
        <v>4.2976258297035545E-2</v>
      </c>
      <c r="M126" s="22">
        <f t="shared" si="24"/>
        <v>3.1372668556835945E-2</v>
      </c>
      <c r="N126" s="22">
        <f t="shared" si="25"/>
        <v>2.2902048046490237E-2</v>
      </c>
      <c r="O126" s="22">
        <f t="shared" si="26"/>
        <v>1.6718495073937873E-2</v>
      </c>
    </row>
    <row r="127" spans="1:15" ht="15" x14ac:dyDescent="0.25">
      <c r="A127" s="22">
        <f t="shared" si="27"/>
        <v>74</v>
      </c>
      <c r="B127" s="22">
        <v>1</v>
      </c>
      <c r="C127" s="22">
        <f t="shared" si="14"/>
        <v>0.74</v>
      </c>
      <c r="D127" s="22">
        <f t="shared" si="15"/>
        <v>0.54759999999999998</v>
      </c>
      <c r="E127" s="22">
        <f t="shared" si="16"/>
        <v>0.40522399999999997</v>
      </c>
      <c r="F127" s="22">
        <f t="shared" si="17"/>
        <v>0.29986575999999998</v>
      </c>
      <c r="G127" s="22">
        <f t="shared" si="18"/>
        <v>0.22190066239999998</v>
      </c>
      <c r="H127" s="22">
        <f t="shared" si="19"/>
        <v>0.16420649017599998</v>
      </c>
      <c r="I127" s="22">
        <f t="shared" si="20"/>
        <v>0.12151280273023998</v>
      </c>
      <c r="J127" s="22">
        <f t="shared" si="21"/>
        <v>8.9919474020377588E-2</v>
      </c>
      <c r="K127" s="22">
        <f t="shared" si="22"/>
        <v>6.6540410775079412E-2</v>
      </c>
      <c r="L127" s="22">
        <f t="shared" si="23"/>
        <v>4.9239903973558763E-2</v>
      </c>
      <c r="M127" s="22">
        <f t="shared" si="24"/>
        <v>3.6437528940433485E-2</v>
      </c>
      <c r="N127" s="22">
        <f t="shared" si="25"/>
        <v>2.6963771415920778E-2</v>
      </c>
      <c r="O127" s="22">
        <f t="shared" si="26"/>
        <v>1.9953190847781375E-2</v>
      </c>
    </row>
    <row r="128" spans="1:15" ht="15" x14ac:dyDescent="0.25">
      <c r="A128" s="22">
        <f t="shared" si="27"/>
        <v>75</v>
      </c>
      <c r="B128" s="22">
        <v>1</v>
      </c>
      <c r="C128" s="22">
        <f t="shared" si="14"/>
        <v>0.75</v>
      </c>
      <c r="D128" s="22">
        <f t="shared" si="15"/>
        <v>0.5625</v>
      </c>
      <c r="E128" s="22">
        <f t="shared" si="16"/>
        <v>0.421875</v>
      </c>
      <c r="F128" s="22">
        <f t="shared" si="17"/>
        <v>0.31640625</v>
      </c>
      <c r="G128" s="22">
        <f t="shared" si="18"/>
        <v>0.2373046875</v>
      </c>
      <c r="H128" s="22">
        <f t="shared" si="19"/>
        <v>0.177978515625</v>
      </c>
      <c r="I128" s="22">
        <f t="shared" si="20"/>
        <v>0.13348388671875</v>
      </c>
      <c r="J128" s="22">
        <f t="shared" si="21"/>
        <v>0.1001129150390625</v>
      </c>
      <c r="K128" s="22">
        <f t="shared" si="22"/>
        <v>7.5084686279296875E-2</v>
      </c>
      <c r="L128" s="22">
        <f t="shared" si="23"/>
        <v>5.6313514709472656E-2</v>
      </c>
      <c r="M128" s="22">
        <f t="shared" si="24"/>
        <v>4.2235136032104492E-2</v>
      </c>
      <c r="N128" s="22">
        <f t="shared" si="25"/>
        <v>3.1676352024078369E-2</v>
      </c>
      <c r="O128" s="22">
        <f t="shared" si="26"/>
        <v>2.3757264018058777E-2</v>
      </c>
    </row>
    <row r="129" spans="1:15" ht="15" x14ac:dyDescent="0.25">
      <c r="A129" s="22">
        <f t="shared" si="27"/>
        <v>76</v>
      </c>
      <c r="B129" s="22">
        <v>1</v>
      </c>
      <c r="C129" s="22">
        <f t="shared" si="14"/>
        <v>0.76</v>
      </c>
      <c r="D129" s="22">
        <f t="shared" si="15"/>
        <v>0.5776</v>
      </c>
      <c r="E129" s="22">
        <f t="shared" si="16"/>
        <v>0.43897600000000003</v>
      </c>
      <c r="F129" s="22">
        <f t="shared" si="17"/>
        <v>0.33362175999999999</v>
      </c>
      <c r="G129" s="22">
        <f t="shared" si="18"/>
        <v>0.25355253760000002</v>
      </c>
      <c r="H129" s="22">
        <f t="shared" si="19"/>
        <v>0.19269992857599999</v>
      </c>
      <c r="I129" s="22">
        <f t="shared" si="20"/>
        <v>0.14645194571776002</v>
      </c>
      <c r="J129" s="22">
        <f t="shared" si="21"/>
        <v>0.11130347874549759</v>
      </c>
      <c r="K129" s="22">
        <f t="shared" si="22"/>
        <v>8.4590643846578176E-2</v>
      </c>
      <c r="L129" s="22">
        <f t="shared" si="23"/>
        <v>6.4288889323399406E-2</v>
      </c>
      <c r="M129" s="22">
        <f t="shared" si="24"/>
        <v>4.8859555885783557E-2</v>
      </c>
      <c r="N129" s="22">
        <f t="shared" si="25"/>
        <v>3.7133262473195497E-2</v>
      </c>
      <c r="O129" s="22">
        <f t="shared" si="26"/>
        <v>2.8221279479628582E-2</v>
      </c>
    </row>
    <row r="130" spans="1:15" ht="15" x14ac:dyDescent="0.25">
      <c r="A130" s="22">
        <f t="shared" si="27"/>
        <v>77</v>
      </c>
      <c r="B130" s="22">
        <v>1</v>
      </c>
      <c r="C130" s="22">
        <f t="shared" si="14"/>
        <v>0.77</v>
      </c>
      <c r="D130" s="22">
        <f t="shared" si="15"/>
        <v>0.59289999999999998</v>
      </c>
      <c r="E130" s="22">
        <f t="shared" si="16"/>
        <v>0.45653300000000002</v>
      </c>
      <c r="F130" s="22">
        <f t="shared" si="17"/>
        <v>0.35153040999999996</v>
      </c>
      <c r="G130" s="22">
        <f t="shared" si="18"/>
        <v>0.27067841569999995</v>
      </c>
      <c r="H130" s="22">
        <f t="shared" si="19"/>
        <v>0.20842238008899996</v>
      </c>
      <c r="I130" s="22">
        <f t="shared" si="20"/>
        <v>0.16048523266852999</v>
      </c>
      <c r="J130" s="22">
        <f t="shared" si="21"/>
        <v>0.12357362915476808</v>
      </c>
      <c r="K130" s="22">
        <f t="shared" si="22"/>
        <v>9.5151694449171417E-2</v>
      </c>
      <c r="L130" s="22">
        <f t="shared" si="23"/>
        <v>7.3266804725861986E-2</v>
      </c>
      <c r="M130" s="22">
        <f t="shared" si="24"/>
        <v>5.6415439638913739E-2</v>
      </c>
      <c r="N130" s="22">
        <f t="shared" si="25"/>
        <v>4.3439888521963572E-2</v>
      </c>
      <c r="O130" s="22">
        <f t="shared" si="26"/>
        <v>3.3448714161911947E-2</v>
      </c>
    </row>
    <row r="131" spans="1:15" ht="15" x14ac:dyDescent="0.25">
      <c r="A131" s="22">
        <f t="shared" si="27"/>
        <v>78</v>
      </c>
      <c r="B131" s="22">
        <v>1</v>
      </c>
      <c r="C131" s="22">
        <f t="shared" si="14"/>
        <v>0.78</v>
      </c>
      <c r="D131" s="22">
        <f t="shared" si="15"/>
        <v>0.60840000000000005</v>
      </c>
      <c r="E131" s="22">
        <f t="shared" si="16"/>
        <v>0.47455200000000003</v>
      </c>
      <c r="F131" s="22">
        <f t="shared" si="17"/>
        <v>0.37015056000000007</v>
      </c>
      <c r="G131" s="22">
        <f t="shared" si="18"/>
        <v>0.28871743680000006</v>
      </c>
      <c r="H131" s="22">
        <f t="shared" si="19"/>
        <v>0.22519960070400005</v>
      </c>
      <c r="I131" s="22">
        <f t="shared" si="20"/>
        <v>0.17565568854912006</v>
      </c>
      <c r="J131" s="22">
        <f t="shared" si="21"/>
        <v>0.13701143706831365</v>
      </c>
      <c r="K131" s="22">
        <f t="shared" si="22"/>
        <v>0.10686892091328465</v>
      </c>
      <c r="L131" s="22">
        <f t="shared" si="23"/>
        <v>8.3357758312362029E-2</v>
      </c>
      <c r="M131" s="22">
        <f t="shared" si="24"/>
        <v>6.5019051483642384E-2</v>
      </c>
      <c r="N131" s="22">
        <f t="shared" si="25"/>
        <v>5.0714860157241061E-2</v>
      </c>
      <c r="O131" s="22">
        <f t="shared" si="26"/>
        <v>3.9557590922648031E-2</v>
      </c>
    </row>
    <row r="132" spans="1:15" ht="15" x14ac:dyDescent="0.25">
      <c r="A132" s="22">
        <f t="shared" si="27"/>
        <v>79</v>
      </c>
      <c r="B132" s="22">
        <v>1</v>
      </c>
      <c r="C132" s="22">
        <f t="shared" si="14"/>
        <v>0.79</v>
      </c>
      <c r="D132" s="22">
        <f t="shared" si="15"/>
        <v>0.6241000000000001</v>
      </c>
      <c r="E132" s="22">
        <f t="shared" si="16"/>
        <v>0.49303900000000012</v>
      </c>
      <c r="F132" s="22">
        <f t="shared" si="17"/>
        <v>0.38950081000000014</v>
      </c>
      <c r="G132" s="22">
        <f t="shared" si="18"/>
        <v>0.30770563990000011</v>
      </c>
      <c r="H132" s="22">
        <f t="shared" si="19"/>
        <v>0.24308745552100014</v>
      </c>
      <c r="I132" s="22">
        <f t="shared" si="20"/>
        <v>0.19203908986159013</v>
      </c>
      <c r="J132" s="22">
        <f t="shared" si="21"/>
        <v>0.15171088099065622</v>
      </c>
      <c r="K132" s="22">
        <f t="shared" si="22"/>
        <v>0.11985159598261842</v>
      </c>
      <c r="L132" s="22">
        <f t="shared" si="23"/>
        <v>9.4682760826268558E-2</v>
      </c>
      <c r="M132" s="22">
        <f t="shared" si="24"/>
        <v>7.4799381052752162E-2</v>
      </c>
      <c r="N132" s="22">
        <f t="shared" si="25"/>
        <v>5.9091511031674218E-2</v>
      </c>
      <c r="O132" s="22">
        <f t="shared" si="26"/>
        <v>4.6682293715022631E-2</v>
      </c>
    </row>
    <row r="133" spans="1:15" ht="15" x14ac:dyDescent="0.25">
      <c r="A133" s="22">
        <f t="shared" si="27"/>
        <v>80</v>
      </c>
      <c r="B133" s="22">
        <v>1</v>
      </c>
      <c r="C133" s="22">
        <f t="shared" si="14"/>
        <v>0.8</v>
      </c>
      <c r="D133" s="22">
        <f t="shared" si="15"/>
        <v>0.64000000000000012</v>
      </c>
      <c r="E133" s="22">
        <f t="shared" si="16"/>
        <v>0.51200000000000012</v>
      </c>
      <c r="F133" s="22">
        <f t="shared" si="17"/>
        <v>0.40960000000000019</v>
      </c>
      <c r="G133" s="22">
        <f t="shared" si="18"/>
        <v>0.32768000000000019</v>
      </c>
      <c r="H133" s="22">
        <f t="shared" si="19"/>
        <v>0.26214400000000015</v>
      </c>
      <c r="I133" s="22">
        <f t="shared" si="20"/>
        <v>0.20971520000000016</v>
      </c>
      <c r="J133" s="22">
        <f t="shared" si="21"/>
        <v>0.16777216000000014</v>
      </c>
      <c r="K133" s="22">
        <f t="shared" si="22"/>
        <v>0.13421772800000012</v>
      </c>
      <c r="L133" s="22">
        <f t="shared" si="23"/>
        <v>0.10737418240000011</v>
      </c>
      <c r="M133" s="22">
        <f t="shared" si="24"/>
        <v>8.5899345920000092E-2</v>
      </c>
      <c r="N133" s="22">
        <f t="shared" si="25"/>
        <v>6.8719476736000096E-2</v>
      </c>
      <c r="O133" s="22">
        <f t="shared" si="26"/>
        <v>5.4975581388800078E-2</v>
      </c>
    </row>
    <row r="134" spans="1:15" ht="15" x14ac:dyDescent="0.25">
      <c r="A134" s="22">
        <f t="shared" si="27"/>
        <v>81</v>
      </c>
      <c r="B134" s="22">
        <v>1</v>
      </c>
      <c r="C134" s="22">
        <f t="shared" si="14"/>
        <v>0.81</v>
      </c>
      <c r="D134" s="22">
        <f t="shared" si="15"/>
        <v>0.65610000000000013</v>
      </c>
      <c r="E134" s="22">
        <f t="shared" si="16"/>
        <v>0.53144100000000016</v>
      </c>
      <c r="F134" s="22">
        <f t="shared" si="17"/>
        <v>0.43046721000000016</v>
      </c>
      <c r="G134" s="22">
        <f t="shared" si="18"/>
        <v>0.34867844010000015</v>
      </c>
      <c r="H134" s="22">
        <f t="shared" si="19"/>
        <v>0.28242953648100017</v>
      </c>
      <c r="I134" s="22">
        <f t="shared" si="20"/>
        <v>0.22876792454961015</v>
      </c>
      <c r="J134" s="22">
        <f t="shared" si="21"/>
        <v>0.18530201888518424</v>
      </c>
      <c r="K134" s="22">
        <f t="shared" si="22"/>
        <v>0.15009463529699923</v>
      </c>
      <c r="L134" s="22">
        <f t="shared" si="23"/>
        <v>0.12157665459056941</v>
      </c>
      <c r="M134" s="22">
        <f t="shared" si="24"/>
        <v>9.8477090218361235E-2</v>
      </c>
      <c r="N134" s="22">
        <f t="shared" si="25"/>
        <v>7.9766443076872598E-2</v>
      </c>
      <c r="O134" s="22">
        <f t="shared" si="26"/>
        <v>6.4610818892266816E-2</v>
      </c>
    </row>
    <row r="135" spans="1:15" ht="15" x14ac:dyDescent="0.25">
      <c r="A135" s="22">
        <f t="shared" si="27"/>
        <v>82</v>
      </c>
      <c r="B135" s="22">
        <v>1</v>
      </c>
      <c r="C135" s="22">
        <f t="shared" si="14"/>
        <v>0.82000000000000006</v>
      </c>
      <c r="D135" s="22">
        <f t="shared" si="15"/>
        <v>0.67240000000000011</v>
      </c>
      <c r="E135" s="22">
        <f t="shared" si="16"/>
        <v>0.55136800000000008</v>
      </c>
      <c r="F135" s="22">
        <f t="shared" si="17"/>
        <v>0.45212176000000015</v>
      </c>
      <c r="G135" s="22">
        <f t="shared" si="18"/>
        <v>0.37073984320000014</v>
      </c>
      <c r="H135" s="22">
        <f t="shared" si="19"/>
        <v>0.30400667142400017</v>
      </c>
      <c r="I135" s="22">
        <f t="shared" si="20"/>
        <v>0.24928547056768011</v>
      </c>
      <c r="J135" s="22">
        <f t="shared" si="21"/>
        <v>0.20441408586549772</v>
      </c>
      <c r="K135" s="22">
        <f t="shared" si="22"/>
        <v>0.16761955040970813</v>
      </c>
      <c r="L135" s="22">
        <f t="shared" si="23"/>
        <v>0.1374480313359607</v>
      </c>
      <c r="M135" s="22">
        <f t="shared" si="24"/>
        <v>0.11270738569548777</v>
      </c>
      <c r="N135" s="22">
        <f t="shared" si="25"/>
        <v>9.2420056270299991E-2</v>
      </c>
      <c r="O135" s="22">
        <f t="shared" si="26"/>
        <v>7.5784446141645992E-2</v>
      </c>
    </row>
    <row r="136" spans="1:15" ht="15" x14ac:dyDescent="0.25">
      <c r="A136" s="22">
        <f t="shared" si="27"/>
        <v>83</v>
      </c>
      <c r="B136" s="22">
        <v>1</v>
      </c>
      <c r="C136" s="22">
        <f t="shared" si="14"/>
        <v>0.83000000000000007</v>
      </c>
      <c r="D136" s="22">
        <f t="shared" si="15"/>
        <v>0.68890000000000007</v>
      </c>
      <c r="E136" s="22">
        <f t="shared" si="16"/>
        <v>0.57178700000000016</v>
      </c>
      <c r="F136" s="22">
        <f t="shared" si="17"/>
        <v>0.47458321000000009</v>
      </c>
      <c r="G136" s="22">
        <f t="shared" si="18"/>
        <v>0.39390406430000013</v>
      </c>
      <c r="H136" s="22">
        <f t="shared" si="19"/>
        <v>0.32694037336900011</v>
      </c>
      <c r="I136" s="22">
        <f t="shared" si="20"/>
        <v>0.27136050989627014</v>
      </c>
      <c r="J136" s="22">
        <f t="shared" si="21"/>
        <v>0.22522922321390418</v>
      </c>
      <c r="K136" s="22">
        <f t="shared" si="22"/>
        <v>0.18694025526754049</v>
      </c>
      <c r="L136" s="22">
        <f t="shared" si="23"/>
        <v>0.15516041187205859</v>
      </c>
      <c r="M136" s="22">
        <f t="shared" si="24"/>
        <v>0.12878314185380865</v>
      </c>
      <c r="N136" s="22">
        <f t="shared" si="25"/>
        <v>0.10689000773866118</v>
      </c>
      <c r="O136" s="22">
        <f t="shared" si="26"/>
        <v>8.8718706423088795E-2</v>
      </c>
    </row>
    <row r="137" spans="1:15" ht="15" x14ac:dyDescent="0.25">
      <c r="A137" s="22">
        <f t="shared" si="27"/>
        <v>84</v>
      </c>
      <c r="B137" s="22">
        <v>1</v>
      </c>
      <c r="C137" s="22">
        <f t="shared" si="14"/>
        <v>0.84</v>
      </c>
      <c r="D137" s="22">
        <f t="shared" si="15"/>
        <v>0.70559999999999989</v>
      </c>
      <c r="E137" s="22">
        <f t="shared" si="16"/>
        <v>0.5927039999999999</v>
      </c>
      <c r="F137" s="22">
        <f t="shared" si="17"/>
        <v>0.49787135999999987</v>
      </c>
      <c r="G137" s="22">
        <f t="shared" si="18"/>
        <v>0.41821194239999987</v>
      </c>
      <c r="H137" s="22">
        <f t="shared" si="19"/>
        <v>0.35129803161599987</v>
      </c>
      <c r="I137" s="22">
        <f t="shared" si="20"/>
        <v>0.29509034655743988</v>
      </c>
      <c r="J137" s="22">
        <f t="shared" si="21"/>
        <v>0.24787589110824948</v>
      </c>
      <c r="K137" s="22">
        <f t="shared" si="22"/>
        <v>0.20821574853092956</v>
      </c>
      <c r="L137" s="22">
        <f t="shared" si="23"/>
        <v>0.1749012287659808</v>
      </c>
      <c r="M137" s="22">
        <f t="shared" si="24"/>
        <v>0.14691703216342386</v>
      </c>
      <c r="N137" s="22">
        <f t="shared" si="25"/>
        <v>0.12341030701727604</v>
      </c>
      <c r="O137" s="22">
        <f t="shared" si="26"/>
        <v>0.10366465789451187</v>
      </c>
    </row>
    <row r="138" spans="1:15" ht="15" x14ac:dyDescent="0.25">
      <c r="A138" s="22">
        <f t="shared" si="27"/>
        <v>85</v>
      </c>
      <c r="B138" s="22">
        <v>1</v>
      </c>
      <c r="C138" s="22">
        <f t="shared" si="14"/>
        <v>0.85</v>
      </c>
      <c r="D138" s="22">
        <f t="shared" si="15"/>
        <v>0.72249999999999992</v>
      </c>
      <c r="E138" s="22">
        <f t="shared" si="16"/>
        <v>0.61412499999999992</v>
      </c>
      <c r="F138" s="22">
        <f t="shared" si="17"/>
        <v>0.52200624999999989</v>
      </c>
      <c r="G138" s="22">
        <f t="shared" si="18"/>
        <v>0.44370531249999989</v>
      </c>
      <c r="H138" s="22">
        <f t="shared" si="19"/>
        <v>0.37714951562499988</v>
      </c>
      <c r="I138" s="22">
        <f t="shared" si="20"/>
        <v>0.32057708828124987</v>
      </c>
      <c r="J138" s="22">
        <f t="shared" si="21"/>
        <v>0.2724905250390624</v>
      </c>
      <c r="K138" s="22">
        <f t="shared" si="22"/>
        <v>0.23161694628320303</v>
      </c>
      <c r="L138" s="22">
        <f t="shared" si="23"/>
        <v>0.19687440434072256</v>
      </c>
      <c r="M138" s="22">
        <f t="shared" si="24"/>
        <v>0.16734324368961417</v>
      </c>
      <c r="N138" s="22">
        <f t="shared" si="25"/>
        <v>0.14224175713617204</v>
      </c>
      <c r="O138" s="22">
        <f t="shared" si="26"/>
        <v>0.12090549356574623</v>
      </c>
    </row>
    <row r="139" spans="1:15" ht="15" x14ac:dyDescent="0.25">
      <c r="A139" s="22">
        <f t="shared" si="27"/>
        <v>86</v>
      </c>
      <c r="B139" s="22">
        <v>1</v>
      </c>
      <c r="C139" s="22">
        <f t="shared" si="14"/>
        <v>0.86</v>
      </c>
      <c r="D139" s="22">
        <f t="shared" si="15"/>
        <v>0.73959999999999992</v>
      </c>
      <c r="E139" s="22">
        <f t="shared" si="16"/>
        <v>0.63605599999999995</v>
      </c>
      <c r="F139" s="22">
        <f t="shared" si="17"/>
        <v>0.54700815999999985</v>
      </c>
      <c r="G139" s="22">
        <f t="shared" si="18"/>
        <v>0.47042701759999989</v>
      </c>
      <c r="H139" s="22">
        <f t="shared" si="19"/>
        <v>0.40456723513599985</v>
      </c>
      <c r="I139" s="22">
        <f t="shared" si="20"/>
        <v>0.34792782221695989</v>
      </c>
      <c r="J139" s="22">
        <f t="shared" si="21"/>
        <v>0.29921792710658546</v>
      </c>
      <c r="K139" s="22">
        <f t="shared" si="22"/>
        <v>0.25732741731166348</v>
      </c>
      <c r="L139" s="22">
        <f t="shared" si="23"/>
        <v>0.22130157888803059</v>
      </c>
      <c r="M139" s="22">
        <f t="shared" si="24"/>
        <v>0.19031935784370629</v>
      </c>
      <c r="N139" s="22">
        <f t="shared" si="25"/>
        <v>0.1636746477455874</v>
      </c>
      <c r="O139" s="22">
        <f t="shared" si="26"/>
        <v>0.14076019706120516</v>
      </c>
    </row>
    <row r="140" spans="1:15" ht="15" x14ac:dyDescent="0.25">
      <c r="A140" s="22">
        <f t="shared" si="27"/>
        <v>87</v>
      </c>
      <c r="B140" s="22">
        <v>1</v>
      </c>
      <c r="C140" s="22">
        <f t="shared" si="14"/>
        <v>0.87</v>
      </c>
      <c r="D140" s="22">
        <f t="shared" si="15"/>
        <v>0.75690000000000002</v>
      </c>
      <c r="E140" s="22">
        <f t="shared" si="16"/>
        <v>0.65850300000000006</v>
      </c>
      <c r="F140" s="22">
        <f t="shared" si="17"/>
        <v>0.57289761000000006</v>
      </c>
      <c r="G140" s="22">
        <f t="shared" si="18"/>
        <v>0.49842092070000005</v>
      </c>
      <c r="H140" s="22">
        <f t="shared" si="19"/>
        <v>0.43362620100900007</v>
      </c>
      <c r="I140" s="22">
        <f t="shared" si="20"/>
        <v>0.37725479487783009</v>
      </c>
      <c r="J140" s="22">
        <f t="shared" si="21"/>
        <v>0.32821167154371217</v>
      </c>
      <c r="K140" s="22">
        <f t="shared" si="22"/>
        <v>0.28554415424302959</v>
      </c>
      <c r="L140" s="22">
        <f t="shared" si="23"/>
        <v>0.24842341419143574</v>
      </c>
      <c r="M140" s="22">
        <f t="shared" si="24"/>
        <v>0.21612837034654911</v>
      </c>
      <c r="N140" s="22">
        <f t="shared" si="25"/>
        <v>0.18803168220149774</v>
      </c>
      <c r="O140" s="22">
        <f t="shared" si="26"/>
        <v>0.16358756351530301</v>
      </c>
    </row>
    <row r="141" spans="1:15" ht="15" x14ac:dyDescent="0.25">
      <c r="A141" s="22">
        <f t="shared" si="27"/>
        <v>88</v>
      </c>
      <c r="B141" s="22">
        <v>1</v>
      </c>
      <c r="C141" s="22">
        <f t="shared" si="14"/>
        <v>0.88</v>
      </c>
      <c r="D141" s="22">
        <f t="shared" si="15"/>
        <v>0.77439999999999998</v>
      </c>
      <c r="E141" s="22">
        <f t="shared" si="16"/>
        <v>0.68147199999999997</v>
      </c>
      <c r="F141" s="22">
        <f t="shared" si="17"/>
        <v>0.59969536000000001</v>
      </c>
      <c r="G141" s="22">
        <f t="shared" si="18"/>
        <v>0.52773191679999998</v>
      </c>
      <c r="H141" s="22">
        <f t="shared" si="19"/>
        <v>0.46440408678399997</v>
      </c>
      <c r="I141" s="22">
        <f t="shared" si="20"/>
        <v>0.40867559636992001</v>
      </c>
      <c r="J141" s="22">
        <f t="shared" si="21"/>
        <v>0.3596345248055296</v>
      </c>
      <c r="K141" s="22">
        <f t="shared" si="22"/>
        <v>0.31647838182886606</v>
      </c>
      <c r="L141" s="22">
        <f t="shared" si="23"/>
        <v>0.2785009760094021</v>
      </c>
      <c r="M141" s="22">
        <f t="shared" si="24"/>
        <v>0.24508085888827386</v>
      </c>
      <c r="N141" s="22">
        <f t="shared" si="25"/>
        <v>0.215671155821681</v>
      </c>
      <c r="O141" s="22">
        <f t="shared" si="26"/>
        <v>0.18979061712307926</v>
      </c>
    </row>
    <row r="142" spans="1:15" ht="15" x14ac:dyDescent="0.25">
      <c r="A142" s="22">
        <f t="shared" si="27"/>
        <v>89</v>
      </c>
      <c r="B142" s="22">
        <v>1</v>
      </c>
      <c r="C142" s="22">
        <f t="shared" si="14"/>
        <v>0.89</v>
      </c>
      <c r="D142" s="22">
        <f t="shared" si="15"/>
        <v>0.79210000000000003</v>
      </c>
      <c r="E142" s="22">
        <f t="shared" si="16"/>
        <v>0.70496900000000007</v>
      </c>
      <c r="F142" s="22">
        <f t="shared" si="17"/>
        <v>0.6274224100000001</v>
      </c>
      <c r="G142" s="22">
        <f t="shared" si="18"/>
        <v>0.55840594490000006</v>
      </c>
      <c r="H142" s="22">
        <f t="shared" si="19"/>
        <v>0.49698129096100008</v>
      </c>
      <c r="I142" s="22">
        <f t="shared" si="20"/>
        <v>0.44231334895529012</v>
      </c>
      <c r="J142" s="22">
        <f t="shared" si="21"/>
        <v>0.3936588805702082</v>
      </c>
      <c r="K142" s="22">
        <f t="shared" si="22"/>
        <v>0.35035640370748533</v>
      </c>
      <c r="L142" s="22">
        <f t="shared" si="23"/>
        <v>0.31181719929966195</v>
      </c>
      <c r="M142" s="22">
        <f t="shared" si="24"/>
        <v>0.27751730737669911</v>
      </c>
      <c r="N142" s="22">
        <f t="shared" si="25"/>
        <v>0.24699040356526225</v>
      </c>
      <c r="O142" s="22">
        <f t="shared" si="26"/>
        <v>0.21982145917308338</v>
      </c>
    </row>
    <row r="143" spans="1:15" ht="15" x14ac:dyDescent="0.25">
      <c r="A143" s="22">
        <f t="shared" si="27"/>
        <v>90</v>
      </c>
      <c r="B143" s="22">
        <v>1</v>
      </c>
      <c r="C143" s="22">
        <f t="shared" si="14"/>
        <v>0.9</v>
      </c>
      <c r="D143" s="22">
        <f t="shared" si="15"/>
        <v>0.81</v>
      </c>
      <c r="E143" s="22">
        <f t="shared" si="16"/>
        <v>0.72900000000000009</v>
      </c>
      <c r="F143" s="22">
        <f t="shared" si="17"/>
        <v>0.65610000000000013</v>
      </c>
      <c r="G143" s="22">
        <f t="shared" si="18"/>
        <v>0.59049000000000018</v>
      </c>
      <c r="H143" s="22">
        <f t="shared" si="19"/>
        <v>0.53144100000000016</v>
      </c>
      <c r="I143" s="22">
        <f t="shared" si="20"/>
        <v>0.47829690000000014</v>
      </c>
      <c r="J143" s="22">
        <f t="shared" si="21"/>
        <v>0.43046721000000016</v>
      </c>
      <c r="K143" s="22">
        <f t="shared" si="22"/>
        <v>0.38742048900000015</v>
      </c>
      <c r="L143" s="22">
        <f t="shared" si="23"/>
        <v>0.34867844010000015</v>
      </c>
      <c r="M143" s="22">
        <f t="shared" si="24"/>
        <v>0.31381059609000017</v>
      </c>
      <c r="N143" s="22">
        <f t="shared" si="25"/>
        <v>0.28242953648100017</v>
      </c>
      <c r="O143" s="22">
        <f t="shared" si="26"/>
        <v>0.25418658283290019</v>
      </c>
    </row>
    <row r="144" spans="1:15" ht="15" x14ac:dyDescent="0.25">
      <c r="A144" s="22">
        <f t="shared" si="27"/>
        <v>91</v>
      </c>
      <c r="B144" s="22">
        <v>1</v>
      </c>
      <c r="C144" s="22">
        <f t="shared" si="14"/>
        <v>0.91</v>
      </c>
      <c r="D144" s="22">
        <f t="shared" si="15"/>
        <v>0.82810000000000006</v>
      </c>
      <c r="E144" s="22">
        <f t="shared" si="16"/>
        <v>0.7535710000000001</v>
      </c>
      <c r="F144" s="22">
        <f t="shared" si="17"/>
        <v>0.68574961000000012</v>
      </c>
      <c r="G144" s="22">
        <f t="shared" si="18"/>
        <v>0.62403214510000016</v>
      </c>
      <c r="H144" s="22">
        <f t="shared" si="19"/>
        <v>0.56786925204100014</v>
      </c>
      <c r="I144" s="22">
        <f t="shared" si="20"/>
        <v>0.51676101935731011</v>
      </c>
      <c r="J144" s="22">
        <f t="shared" si="21"/>
        <v>0.47025252761515224</v>
      </c>
      <c r="K144" s="22">
        <f t="shared" si="22"/>
        <v>0.42792980012978854</v>
      </c>
      <c r="L144" s="22">
        <f t="shared" si="23"/>
        <v>0.38941611811810761</v>
      </c>
      <c r="M144" s="22">
        <f t="shared" si="24"/>
        <v>0.35436866748747792</v>
      </c>
      <c r="N144" s="22">
        <f t="shared" si="25"/>
        <v>0.32247548741360493</v>
      </c>
      <c r="O144" s="22">
        <f t="shared" si="26"/>
        <v>0.29345269354638054</v>
      </c>
    </row>
    <row r="145" spans="1:15" ht="15" x14ac:dyDescent="0.25">
      <c r="A145" s="22">
        <f t="shared" si="27"/>
        <v>92</v>
      </c>
      <c r="B145" s="22">
        <v>1</v>
      </c>
      <c r="C145" s="22">
        <f t="shared" si="14"/>
        <v>0.92</v>
      </c>
      <c r="D145" s="22">
        <f t="shared" si="15"/>
        <v>0.84640000000000004</v>
      </c>
      <c r="E145" s="22">
        <f t="shared" si="16"/>
        <v>0.77868800000000005</v>
      </c>
      <c r="F145" s="22">
        <f t="shared" si="17"/>
        <v>0.71639296000000008</v>
      </c>
      <c r="G145" s="22">
        <f t="shared" si="18"/>
        <v>0.65908152320000013</v>
      </c>
      <c r="H145" s="22">
        <f t="shared" si="19"/>
        <v>0.60635500134400011</v>
      </c>
      <c r="I145" s="22">
        <f t="shared" si="20"/>
        <v>0.55784660123648011</v>
      </c>
      <c r="J145" s="22">
        <f t="shared" si="21"/>
        <v>0.51321887313756176</v>
      </c>
      <c r="K145" s="22">
        <f t="shared" si="22"/>
        <v>0.47216136328655683</v>
      </c>
      <c r="L145" s="22">
        <f t="shared" si="23"/>
        <v>0.43438845422363231</v>
      </c>
      <c r="M145" s="22">
        <f t="shared" si="24"/>
        <v>0.39963737788574172</v>
      </c>
      <c r="N145" s="22">
        <f t="shared" si="25"/>
        <v>0.36766638765488241</v>
      </c>
      <c r="O145" s="22">
        <f t="shared" si="26"/>
        <v>0.33825307664249182</v>
      </c>
    </row>
    <row r="146" spans="1:15" ht="15" x14ac:dyDescent="0.25">
      <c r="A146" s="22">
        <f t="shared" si="27"/>
        <v>93</v>
      </c>
      <c r="B146" s="22">
        <v>1</v>
      </c>
      <c r="C146" s="22">
        <f t="shared" si="14"/>
        <v>0.93</v>
      </c>
      <c r="D146" s="22">
        <f t="shared" si="15"/>
        <v>0.86490000000000011</v>
      </c>
      <c r="E146" s="22">
        <f t="shared" si="16"/>
        <v>0.8043570000000001</v>
      </c>
      <c r="F146" s="22">
        <f t="shared" si="17"/>
        <v>0.74805201000000021</v>
      </c>
      <c r="G146" s="22">
        <f t="shared" si="18"/>
        <v>0.69568836930000022</v>
      </c>
      <c r="H146" s="22">
        <f t="shared" si="19"/>
        <v>0.64699018344900028</v>
      </c>
      <c r="I146" s="22">
        <f t="shared" si="20"/>
        <v>0.60170087060757027</v>
      </c>
      <c r="J146" s="22">
        <f t="shared" si="21"/>
        <v>0.55958180966504045</v>
      </c>
      <c r="K146" s="22">
        <f t="shared" si="22"/>
        <v>0.52041108298848759</v>
      </c>
      <c r="L146" s="22">
        <f t="shared" si="23"/>
        <v>0.48398230717929352</v>
      </c>
      <c r="M146" s="22">
        <f t="shared" si="24"/>
        <v>0.45010354567674299</v>
      </c>
      <c r="N146" s="22">
        <f t="shared" si="25"/>
        <v>0.41859629747937105</v>
      </c>
      <c r="O146" s="22">
        <f t="shared" si="26"/>
        <v>0.38929455665581508</v>
      </c>
    </row>
    <row r="147" spans="1:15" ht="15" x14ac:dyDescent="0.25">
      <c r="A147" s="22">
        <f t="shared" si="27"/>
        <v>94</v>
      </c>
      <c r="B147" s="22">
        <v>1</v>
      </c>
      <c r="C147" s="22">
        <f t="shared" si="14"/>
        <v>0.94000000000000006</v>
      </c>
      <c r="D147" s="22">
        <f t="shared" si="15"/>
        <v>0.88360000000000016</v>
      </c>
      <c r="E147" s="22">
        <f t="shared" si="16"/>
        <v>0.83058400000000021</v>
      </c>
      <c r="F147" s="22">
        <f t="shared" si="17"/>
        <v>0.78074896000000027</v>
      </c>
      <c r="G147" s="22">
        <f t="shared" si="18"/>
        <v>0.7339040224000003</v>
      </c>
      <c r="H147" s="22">
        <f t="shared" si="19"/>
        <v>0.68986978105600039</v>
      </c>
      <c r="I147" s="22">
        <f t="shared" si="20"/>
        <v>0.64847759419264039</v>
      </c>
      <c r="J147" s="22">
        <f t="shared" si="21"/>
        <v>0.60956893854108207</v>
      </c>
      <c r="K147" s="22">
        <f t="shared" si="22"/>
        <v>0.57299480222861721</v>
      </c>
      <c r="L147" s="22">
        <f t="shared" si="23"/>
        <v>0.53861511409490026</v>
      </c>
      <c r="M147" s="22">
        <f t="shared" si="24"/>
        <v>0.50629820724920627</v>
      </c>
      <c r="N147" s="22">
        <f t="shared" si="25"/>
        <v>0.4759203148142539</v>
      </c>
      <c r="O147" s="22">
        <f t="shared" si="26"/>
        <v>0.44736509592539869</v>
      </c>
    </row>
    <row r="148" spans="1:15" ht="15" x14ac:dyDescent="0.25">
      <c r="A148" s="22">
        <f t="shared" si="27"/>
        <v>95</v>
      </c>
      <c r="B148" s="22">
        <v>1</v>
      </c>
      <c r="C148" s="22">
        <f t="shared" si="14"/>
        <v>0.95000000000000007</v>
      </c>
      <c r="D148" s="22">
        <f t="shared" si="15"/>
        <v>0.90250000000000008</v>
      </c>
      <c r="E148" s="22">
        <f t="shared" si="16"/>
        <v>0.85737500000000011</v>
      </c>
      <c r="F148" s="22">
        <f t="shared" si="17"/>
        <v>0.8145062500000001</v>
      </c>
      <c r="G148" s="22">
        <f t="shared" si="18"/>
        <v>0.7737809375000001</v>
      </c>
      <c r="H148" s="22">
        <f t="shared" si="19"/>
        <v>0.73509189062500013</v>
      </c>
      <c r="I148" s="22">
        <f t="shared" si="20"/>
        <v>0.69833729609375017</v>
      </c>
      <c r="J148" s="22">
        <f t="shared" si="21"/>
        <v>0.6634204312890627</v>
      </c>
      <c r="K148" s="22">
        <f t="shared" si="22"/>
        <v>0.63024940972460963</v>
      </c>
      <c r="L148" s="22">
        <f t="shared" si="23"/>
        <v>0.59873693923837912</v>
      </c>
      <c r="M148" s="22">
        <f t="shared" si="24"/>
        <v>0.56880009227646022</v>
      </c>
      <c r="N148" s="22">
        <f t="shared" si="25"/>
        <v>0.54036008766263721</v>
      </c>
      <c r="O148" s="22">
        <f t="shared" si="26"/>
        <v>0.51334208327950537</v>
      </c>
    </row>
    <row r="149" spans="1:15" ht="15" x14ac:dyDescent="0.25">
      <c r="A149" s="22">
        <f t="shared" si="27"/>
        <v>96</v>
      </c>
      <c r="B149" s="22">
        <v>1</v>
      </c>
      <c r="C149" s="22">
        <f t="shared" si="14"/>
        <v>0.96</v>
      </c>
      <c r="D149" s="22">
        <f t="shared" si="15"/>
        <v>0.92159999999999997</v>
      </c>
      <c r="E149" s="22">
        <f t="shared" si="16"/>
        <v>0.88473599999999997</v>
      </c>
      <c r="F149" s="22">
        <f t="shared" si="17"/>
        <v>0.84934655999999997</v>
      </c>
      <c r="G149" s="22">
        <f t="shared" si="18"/>
        <v>0.81537269759999997</v>
      </c>
      <c r="H149" s="22">
        <f t="shared" si="19"/>
        <v>0.78275778969599996</v>
      </c>
      <c r="I149" s="22">
        <f t="shared" si="20"/>
        <v>0.75144747810815993</v>
      </c>
      <c r="J149" s="22">
        <f t="shared" si="21"/>
        <v>0.7213895789838336</v>
      </c>
      <c r="K149" s="22">
        <f t="shared" si="22"/>
        <v>0.69253399582448028</v>
      </c>
      <c r="L149" s="22">
        <f t="shared" si="23"/>
        <v>0.664832635991501</v>
      </c>
      <c r="M149" s="22">
        <f t="shared" si="24"/>
        <v>0.63823933055184101</v>
      </c>
      <c r="N149" s="22">
        <f t="shared" si="25"/>
        <v>0.61270975732976729</v>
      </c>
      <c r="O149" s="22">
        <f t="shared" si="26"/>
        <v>0.58820136703657666</v>
      </c>
    </row>
    <row r="150" spans="1:15" ht="15" x14ac:dyDescent="0.25">
      <c r="A150" s="22">
        <f t="shared" si="27"/>
        <v>97</v>
      </c>
      <c r="B150" s="22">
        <v>1</v>
      </c>
      <c r="C150" s="22">
        <f t="shared" si="14"/>
        <v>0.97</v>
      </c>
      <c r="D150" s="22">
        <f t="shared" si="15"/>
        <v>0.94089999999999996</v>
      </c>
      <c r="E150" s="22">
        <f t="shared" si="16"/>
        <v>0.91267299999999996</v>
      </c>
      <c r="F150" s="22">
        <f t="shared" si="17"/>
        <v>0.88529280999999993</v>
      </c>
      <c r="G150" s="22">
        <f t="shared" si="18"/>
        <v>0.8587340256999999</v>
      </c>
      <c r="H150" s="22">
        <f t="shared" si="19"/>
        <v>0.83297200492899992</v>
      </c>
      <c r="I150" s="22">
        <f t="shared" si="20"/>
        <v>0.80798284478112992</v>
      </c>
      <c r="J150" s="22">
        <f t="shared" si="21"/>
        <v>0.78374335943769602</v>
      </c>
      <c r="K150" s="22">
        <f t="shared" si="22"/>
        <v>0.76023105865456508</v>
      </c>
      <c r="L150" s="22">
        <f t="shared" si="23"/>
        <v>0.7374241268949282</v>
      </c>
      <c r="M150" s="22">
        <f t="shared" si="24"/>
        <v>0.71530140308808032</v>
      </c>
      <c r="N150" s="22">
        <f t="shared" si="25"/>
        <v>0.69384236099543783</v>
      </c>
      <c r="O150" s="22">
        <f t="shared" si="26"/>
        <v>0.67302709016557472</v>
      </c>
    </row>
    <row r="151" spans="1:15" ht="15" x14ac:dyDescent="0.25">
      <c r="A151" s="22">
        <f t="shared" si="27"/>
        <v>98</v>
      </c>
      <c r="B151" s="22">
        <v>1</v>
      </c>
      <c r="C151" s="22">
        <f t="shared" si="14"/>
        <v>0.98</v>
      </c>
      <c r="D151" s="22">
        <f t="shared" si="15"/>
        <v>0.96039999999999992</v>
      </c>
      <c r="E151" s="22">
        <f t="shared" si="16"/>
        <v>0.94119199999999992</v>
      </c>
      <c r="F151" s="22">
        <f t="shared" si="17"/>
        <v>0.92236815999999988</v>
      </c>
      <c r="G151" s="22">
        <f t="shared" si="18"/>
        <v>0.90392079679999982</v>
      </c>
      <c r="H151" s="22">
        <f t="shared" si="19"/>
        <v>0.8858423808639998</v>
      </c>
      <c r="I151" s="22">
        <f t="shared" si="20"/>
        <v>0.86812553324671982</v>
      </c>
      <c r="J151" s="22">
        <f t="shared" si="21"/>
        <v>0.85076302258178538</v>
      </c>
      <c r="K151" s="22">
        <f t="shared" si="22"/>
        <v>0.83374776213014967</v>
      </c>
      <c r="L151" s="22">
        <f t="shared" si="23"/>
        <v>0.81707280688754658</v>
      </c>
      <c r="M151" s="22">
        <f t="shared" si="24"/>
        <v>0.80073135074979562</v>
      </c>
      <c r="N151" s="22">
        <f t="shared" si="25"/>
        <v>0.78471672373479973</v>
      </c>
      <c r="O151" s="22">
        <f t="shared" si="26"/>
        <v>0.76902238926010369</v>
      </c>
    </row>
    <row r="152" spans="1:15" ht="15" x14ac:dyDescent="0.25">
      <c r="A152" s="22">
        <f t="shared" si="27"/>
        <v>99</v>
      </c>
      <c r="B152" s="22">
        <v>1</v>
      </c>
      <c r="C152" s="22">
        <f t="shared" si="14"/>
        <v>0.99</v>
      </c>
      <c r="D152" s="22">
        <f t="shared" si="15"/>
        <v>0.98009999999999997</v>
      </c>
      <c r="E152" s="22">
        <f t="shared" si="16"/>
        <v>0.97029899999999991</v>
      </c>
      <c r="F152" s="22">
        <f t="shared" si="17"/>
        <v>0.96059600999999994</v>
      </c>
      <c r="G152" s="22">
        <f t="shared" si="18"/>
        <v>0.95099004989999991</v>
      </c>
      <c r="H152" s="22">
        <f t="shared" si="19"/>
        <v>0.94148014940099989</v>
      </c>
      <c r="I152" s="22">
        <f t="shared" si="20"/>
        <v>0.93206534790698992</v>
      </c>
      <c r="J152" s="22">
        <f t="shared" si="21"/>
        <v>0.92274469442791995</v>
      </c>
      <c r="K152" s="22">
        <f t="shared" si="22"/>
        <v>0.91351724748364072</v>
      </c>
      <c r="L152" s="22">
        <f t="shared" si="23"/>
        <v>0.9043820750088043</v>
      </c>
      <c r="M152" s="22">
        <f t="shared" si="24"/>
        <v>0.89533825425871627</v>
      </c>
      <c r="N152" s="22">
        <f t="shared" si="25"/>
        <v>0.88638487171612912</v>
      </c>
      <c r="O152" s="22">
        <f t="shared" si="26"/>
        <v>0.87752102299896773</v>
      </c>
    </row>
    <row r="153" spans="1:15" ht="15" x14ac:dyDescent="0.25">
      <c r="A153" s="22">
        <f t="shared" si="27"/>
        <v>100</v>
      </c>
      <c r="B153" s="22">
        <v>1</v>
      </c>
      <c r="C153" s="22">
        <f t="shared" si="14"/>
        <v>1</v>
      </c>
      <c r="D153" s="22">
        <f t="shared" si="15"/>
        <v>1</v>
      </c>
      <c r="E153" s="22">
        <f t="shared" si="16"/>
        <v>1</v>
      </c>
      <c r="F153" s="22">
        <f t="shared" si="17"/>
        <v>1</v>
      </c>
      <c r="G153" s="22">
        <f t="shared" si="18"/>
        <v>1</v>
      </c>
      <c r="H153" s="22">
        <f t="shared" si="19"/>
        <v>1</v>
      </c>
      <c r="I153" s="22">
        <f t="shared" si="20"/>
        <v>1</v>
      </c>
      <c r="J153" s="22">
        <f t="shared" si="21"/>
        <v>1</v>
      </c>
      <c r="K153" s="22">
        <f t="shared" si="22"/>
        <v>1</v>
      </c>
      <c r="L153" s="22">
        <f t="shared" si="23"/>
        <v>1</v>
      </c>
      <c r="M153" s="22">
        <f t="shared" si="24"/>
        <v>1</v>
      </c>
      <c r="N153" s="22">
        <f t="shared" si="25"/>
        <v>1</v>
      </c>
      <c r="O153" s="22">
        <f t="shared" si="26"/>
        <v>1</v>
      </c>
    </row>
    <row r="157" spans="1:15" x14ac:dyDescent="0.2">
      <c r="A157" t="s">
        <v>43</v>
      </c>
    </row>
    <row r="159" spans="1:15" ht="15" x14ac:dyDescent="0.25">
      <c r="A159" s="22"/>
      <c r="B159" s="22">
        <f>0</f>
        <v>0</v>
      </c>
      <c r="C159" s="22">
        <f>B159+1</f>
        <v>1</v>
      </c>
      <c r="D159" s="22">
        <f t="shared" ref="D159:O159" si="28">C159+1</f>
        <v>2</v>
      </c>
      <c r="E159" s="22">
        <f t="shared" si="28"/>
        <v>3</v>
      </c>
      <c r="F159" s="22">
        <f t="shared" si="28"/>
        <v>4</v>
      </c>
      <c r="G159" s="22">
        <f t="shared" si="28"/>
        <v>5</v>
      </c>
      <c r="H159" s="22">
        <f t="shared" si="28"/>
        <v>6</v>
      </c>
      <c r="I159" s="22">
        <f t="shared" si="28"/>
        <v>7</v>
      </c>
      <c r="J159" s="22">
        <f t="shared" si="28"/>
        <v>8</v>
      </c>
      <c r="K159" s="22">
        <f t="shared" si="28"/>
        <v>9</v>
      </c>
      <c r="L159" s="22">
        <f>K159+1</f>
        <v>10</v>
      </c>
      <c r="M159" s="22">
        <f t="shared" si="28"/>
        <v>11</v>
      </c>
      <c r="N159" s="22">
        <f t="shared" si="28"/>
        <v>12</v>
      </c>
      <c r="O159" s="22">
        <f t="shared" si="28"/>
        <v>13</v>
      </c>
    </row>
    <row r="160" spans="1:15" ht="15" x14ac:dyDescent="0.25">
      <c r="A160" s="22">
        <f>0</f>
        <v>0</v>
      </c>
      <c r="B160" s="22">
        <f>C160+C161</f>
        <v>1</v>
      </c>
      <c r="C160" s="22">
        <f t="shared" ref="C160:N160" si="29">D160+D161</f>
        <v>0</v>
      </c>
      <c r="D160" s="22">
        <f t="shared" si="29"/>
        <v>0</v>
      </c>
      <c r="E160" s="22">
        <f t="shared" si="29"/>
        <v>0</v>
      </c>
      <c r="F160" s="22">
        <f t="shared" si="29"/>
        <v>0</v>
      </c>
      <c r="G160" s="22">
        <f t="shared" si="29"/>
        <v>0</v>
      </c>
      <c r="H160" s="22">
        <f t="shared" si="29"/>
        <v>0</v>
      </c>
      <c r="I160" s="22">
        <f t="shared" si="29"/>
        <v>0</v>
      </c>
      <c r="J160" s="22">
        <f t="shared" si="29"/>
        <v>0</v>
      </c>
      <c r="K160" s="22">
        <f t="shared" si="29"/>
        <v>0</v>
      </c>
      <c r="L160" s="22">
        <f t="shared" si="29"/>
        <v>0</v>
      </c>
      <c r="M160" s="22">
        <f t="shared" si="29"/>
        <v>0</v>
      </c>
      <c r="N160" s="22">
        <f t="shared" si="29"/>
        <v>0</v>
      </c>
      <c r="O160" s="22">
        <v>0</v>
      </c>
    </row>
    <row r="161" spans="1:15" ht="15" x14ac:dyDescent="0.25">
      <c r="A161" s="22">
        <f>A160+1</f>
        <v>1</v>
      </c>
      <c r="B161" s="22">
        <f t="shared" ref="B161:N161" si="30">C161+C162</f>
        <v>13</v>
      </c>
      <c r="C161" s="22">
        <f t="shared" si="30"/>
        <v>1</v>
      </c>
      <c r="D161" s="22">
        <f t="shared" si="30"/>
        <v>0</v>
      </c>
      <c r="E161" s="22">
        <f t="shared" si="30"/>
        <v>0</v>
      </c>
      <c r="F161" s="22">
        <f t="shared" si="30"/>
        <v>0</v>
      </c>
      <c r="G161" s="22">
        <f t="shared" si="30"/>
        <v>0</v>
      </c>
      <c r="H161" s="22">
        <f t="shared" si="30"/>
        <v>0</v>
      </c>
      <c r="I161" s="22">
        <f t="shared" si="30"/>
        <v>0</v>
      </c>
      <c r="J161" s="22">
        <f t="shared" si="30"/>
        <v>0</v>
      </c>
      <c r="K161" s="22">
        <f t="shared" si="30"/>
        <v>0</v>
      </c>
      <c r="L161" s="22">
        <f t="shared" si="30"/>
        <v>0</v>
      </c>
      <c r="M161" s="22">
        <f t="shared" si="30"/>
        <v>0</v>
      </c>
      <c r="N161" s="22">
        <f t="shared" si="30"/>
        <v>0</v>
      </c>
      <c r="O161" s="22">
        <v>0</v>
      </c>
    </row>
    <row r="162" spans="1:15" ht="15" x14ac:dyDescent="0.25">
      <c r="A162" s="22">
        <f t="shared" ref="A162:A172" si="31">A161+1</f>
        <v>2</v>
      </c>
      <c r="B162" s="22">
        <f t="shared" ref="B162:N162" si="32">C162+C163</f>
        <v>78</v>
      </c>
      <c r="C162" s="22">
        <f t="shared" si="32"/>
        <v>12</v>
      </c>
      <c r="D162" s="22">
        <f t="shared" si="32"/>
        <v>1</v>
      </c>
      <c r="E162" s="22">
        <f t="shared" si="32"/>
        <v>0</v>
      </c>
      <c r="F162" s="22">
        <f t="shared" si="32"/>
        <v>0</v>
      </c>
      <c r="G162" s="22">
        <f t="shared" si="32"/>
        <v>0</v>
      </c>
      <c r="H162" s="22">
        <f t="shared" si="32"/>
        <v>0</v>
      </c>
      <c r="I162" s="22">
        <f t="shared" si="32"/>
        <v>0</v>
      </c>
      <c r="J162" s="22">
        <f t="shared" si="32"/>
        <v>0</v>
      </c>
      <c r="K162" s="22">
        <f t="shared" si="32"/>
        <v>0</v>
      </c>
      <c r="L162" s="22">
        <f t="shared" si="32"/>
        <v>0</v>
      </c>
      <c r="M162" s="22">
        <f t="shared" si="32"/>
        <v>0</v>
      </c>
      <c r="N162" s="22">
        <f t="shared" si="32"/>
        <v>0</v>
      </c>
      <c r="O162" s="22">
        <v>0</v>
      </c>
    </row>
    <row r="163" spans="1:15" ht="15" x14ac:dyDescent="0.25">
      <c r="A163" s="22">
        <f t="shared" si="31"/>
        <v>3</v>
      </c>
      <c r="B163" s="22">
        <f t="shared" ref="B163:N163" si="33">C163+C164</f>
        <v>286</v>
      </c>
      <c r="C163" s="22">
        <f t="shared" si="33"/>
        <v>66</v>
      </c>
      <c r="D163" s="22">
        <f t="shared" si="33"/>
        <v>11</v>
      </c>
      <c r="E163" s="22">
        <f t="shared" si="33"/>
        <v>1</v>
      </c>
      <c r="F163" s="22">
        <f t="shared" si="33"/>
        <v>0</v>
      </c>
      <c r="G163" s="22">
        <f t="shared" si="33"/>
        <v>0</v>
      </c>
      <c r="H163" s="22">
        <f t="shared" si="33"/>
        <v>0</v>
      </c>
      <c r="I163" s="22">
        <f t="shared" si="33"/>
        <v>0</v>
      </c>
      <c r="J163" s="22">
        <f t="shared" si="33"/>
        <v>0</v>
      </c>
      <c r="K163" s="22">
        <f t="shared" si="33"/>
        <v>0</v>
      </c>
      <c r="L163" s="22">
        <f t="shared" si="33"/>
        <v>0</v>
      </c>
      <c r="M163" s="22">
        <f t="shared" si="33"/>
        <v>0</v>
      </c>
      <c r="N163" s="22">
        <f t="shared" si="33"/>
        <v>0</v>
      </c>
      <c r="O163" s="22">
        <v>0</v>
      </c>
    </row>
    <row r="164" spans="1:15" ht="15" x14ac:dyDescent="0.25">
      <c r="A164" s="22">
        <f t="shared" si="31"/>
        <v>4</v>
      </c>
      <c r="B164" s="22">
        <f t="shared" ref="B164:N164" si="34">C164+C165</f>
        <v>715</v>
      </c>
      <c r="C164" s="22">
        <f t="shared" si="34"/>
        <v>220</v>
      </c>
      <c r="D164" s="22">
        <f t="shared" si="34"/>
        <v>55</v>
      </c>
      <c r="E164" s="22">
        <f t="shared" si="34"/>
        <v>10</v>
      </c>
      <c r="F164" s="22">
        <f t="shared" si="34"/>
        <v>1</v>
      </c>
      <c r="G164" s="22">
        <f t="shared" si="34"/>
        <v>0</v>
      </c>
      <c r="H164" s="22">
        <f t="shared" si="34"/>
        <v>0</v>
      </c>
      <c r="I164" s="22">
        <f t="shared" si="34"/>
        <v>0</v>
      </c>
      <c r="J164" s="22">
        <f t="shared" si="34"/>
        <v>0</v>
      </c>
      <c r="K164" s="22">
        <f t="shared" si="34"/>
        <v>0</v>
      </c>
      <c r="L164" s="22">
        <f t="shared" si="34"/>
        <v>0</v>
      </c>
      <c r="M164" s="22">
        <f t="shared" si="34"/>
        <v>0</v>
      </c>
      <c r="N164" s="22">
        <f t="shared" si="34"/>
        <v>0</v>
      </c>
      <c r="O164" s="22">
        <v>0</v>
      </c>
    </row>
    <row r="165" spans="1:15" ht="15" x14ac:dyDescent="0.25">
      <c r="A165" s="22">
        <f t="shared" si="31"/>
        <v>5</v>
      </c>
      <c r="B165" s="22">
        <f t="shared" ref="B165:N165" si="35">C165+C166</f>
        <v>1287</v>
      </c>
      <c r="C165" s="22">
        <f t="shared" si="35"/>
        <v>495</v>
      </c>
      <c r="D165" s="22">
        <f t="shared" si="35"/>
        <v>165</v>
      </c>
      <c r="E165" s="22">
        <f t="shared" si="35"/>
        <v>45</v>
      </c>
      <c r="F165" s="22">
        <f t="shared" si="35"/>
        <v>9</v>
      </c>
      <c r="G165" s="22">
        <f t="shared" si="35"/>
        <v>1</v>
      </c>
      <c r="H165" s="22">
        <f t="shared" si="35"/>
        <v>0</v>
      </c>
      <c r="I165" s="22">
        <f t="shared" si="35"/>
        <v>0</v>
      </c>
      <c r="J165" s="22">
        <f t="shared" si="35"/>
        <v>0</v>
      </c>
      <c r="K165" s="22">
        <f t="shared" si="35"/>
        <v>0</v>
      </c>
      <c r="L165" s="22">
        <f t="shared" si="35"/>
        <v>0</v>
      </c>
      <c r="M165" s="22">
        <f t="shared" si="35"/>
        <v>0</v>
      </c>
      <c r="N165" s="22">
        <f t="shared" si="35"/>
        <v>0</v>
      </c>
      <c r="O165" s="22">
        <v>0</v>
      </c>
    </row>
    <row r="166" spans="1:15" ht="15" x14ac:dyDescent="0.25">
      <c r="A166" s="22">
        <f t="shared" si="31"/>
        <v>6</v>
      </c>
      <c r="B166" s="22">
        <f t="shared" ref="B166:N166" si="36">C166+C167</f>
        <v>1716</v>
      </c>
      <c r="C166" s="22">
        <f t="shared" si="36"/>
        <v>792</v>
      </c>
      <c r="D166" s="22">
        <f t="shared" si="36"/>
        <v>330</v>
      </c>
      <c r="E166" s="22">
        <f t="shared" si="36"/>
        <v>120</v>
      </c>
      <c r="F166" s="22">
        <f t="shared" si="36"/>
        <v>36</v>
      </c>
      <c r="G166" s="22">
        <f t="shared" si="36"/>
        <v>8</v>
      </c>
      <c r="H166" s="22">
        <f t="shared" si="36"/>
        <v>1</v>
      </c>
      <c r="I166" s="22">
        <f t="shared" si="36"/>
        <v>0</v>
      </c>
      <c r="J166" s="22">
        <f t="shared" si="36"/>
        <v>0</v>
      </c>
      <c r="K166" s="22">
        <f t="shared" si="36"/>
        <v>0</v>
      </c>
      <c r="L166" s="22">
        <f t="shared" si="36"/>
        <v>0</v>
      </c>
      <c r="M166" s="22">
        <f t="shared" si="36"/>
        <v>0</v>
      </c>
      <c r="N166" s="22">
        <f t="shared" si="36"/>
        <v>0</v>
      </c>
      <c r="O166" s="22">
        <v>0</v>
      </c>
    </row>
    <row r="167" spans="1:15" ht="15" x14ac:dyDescent="0.25">
      <c r="A167" s="22">
        <f t="shared" si="31"/>
        <v>7</v>
      </c>
      <c r="B167" s="22">
        <f t="shared" ref="B167:N167" si="37">C167+C168</f>
        <v>1716</v>
      </c>
      <c r="C167" s="22">
        <f t="shared" si="37"/>
        <v>924</v>
      </c>
      <c r="D167" s="22">
        <f t="shared" si="37"/>
        <v>462</v>
      </c>
      <c r="E167" s="22">
        <f t="shared" si="37"/>
        <v>210</v>
      </c>
      <c r="F167" s="22">
        <f t="shared" si="37"/>
        <v>84</v>
      </c>
      <c r="G167" s="22">
        <f t="shared" si="37"/>
        <v>28</v>
      </c>
      <c r="H167" s="22">
        <f t="shared" si="37"/>
        <v>7</v>
      </c>
      <c r="I167" s="22">
        <f t="shared" si="37"/>
        <v>1</v>
      </c>
      <c r="J167" s="22">
        <f t="shared" si="37"/>
        <v>0</v>
      </c>
      <c r="K167" s="22">
        <f t="shared" si="37"/>
        <v>0</v>
      </c>
      <c r="L167" s="22">
        <f t="shared" si="37"/>
        <v>0</v>
      </c>
      <c r="M167" s="22">
        <f t="shared" si="37"/>
        <v>0</v>
      </c>
      <c r="N167" s="22">
        <f t="shared" si="37"/>
        <v>0</v>
      </c>
      <c r="O167" s="22">
        <v>0</v>
      </c>
    </row>
    <row r="168" spans="1:15" ht="15" x14ac:dyDescent="0.25">
      <c r="A168" s="22">
        <f t="shared" si="31"/>
        <v>8</v>
      </c>
      <c r="B168" s="22">
        <f t="shared" ref="B168:N168" si="38">C168+C169</f>
        <v>1287</v>
      </c>
      <c r="C168" s="22">
        <f t="shared" si="38"/>
        <v>792</v>
      </c>
      <c r="D168" s="22">
        <f t="shared" si="38"/>
        <v>462</v>
      </c>
      <c r="E168" s="22">
        <f t="shared" si="38"/>
        <v>252</v>
      </c>
      <c r="F168" s="22">
        <f t="shared" si="38"/>
        <v>126</v>
      </c>
      <c r="G168" s="22">
        <f t="shared" si="38"/>
        <v>56</v>
      </c>
      <c r="H168" s="22">
        <f t="shared" si="38"/>
        <v>21</v>
      </c>
      <c r="I168" s="22">
        <f t="shared" si="38"/>
        <v>6</v>
      </c>
      <c r="J168" s="22">
        <f t="shared" si="38"/>
        <v>1</v>
      </c>
      <c r="K168" s="22">
        <f t="shared" si="38"/>
        <v>0</v>
      </c>
      <c r="L168" s="22">
        <f t="shared" si="38"/>
        <v>0</v>
      </c>
      <c r="M168" s="22">
        <f t="shared" si="38"/>
        <v>0</v>
      </c>
      <c r="N168" s="22">
        <f t="shared" si="38"/>
        <v>0</v>
      </c>
      <c r="O168" s="22">
        <v>0</v>
      </c>
    </row>
    <row r="169" spans="1:15" ht="15" x14ac:dyDescent="0.25">
      <c r="A169" s="22">
        <f t="shared" si="31"/>
        <v>9</v>
      </c>
      <c r="B169" s="22">
        <f t="shared" ref="B169:N169" si="39">C169+C170</f>
        <v>715</v>
      </c>
      <c r="C169" s="22">
        <f t="shared" si="39"/>
        <v>495</v>
      </c>
      <c r="D169" s="22">
        <f t="shared" si="39"/>
        <v>330</v>
      </c>
      <c r="E169" s="22">
        <f t="shared" si="39"/>
        <v>210</v>
      </c>
      <c r="F169" s="22">
        <f t="shared" si="39"/>
        <v>126</v>
      </c>
      <c r="G169" s="22">
        <f t="shared" si="39"/>
        <v>70</v>
      </c>
      <c r="H169" s="22">
        <f t="shared" si="39"/>
        <v>35</v>
      </c>
      <c r="I169" s="22">
        <f t="shared" si="39"/>
        <v>15</v>
      </c>
      <c r="J169" s="22">
        <f t="shared" si="39"/>
        <v>5</v>
      </c>
      <c r="K169" s="22">
        <f t="shared" si="39"/>
        <v>1</v>
      </c>
      <c r="L169" s="22">
        <f t="shared" si="39"/>
        <v>0</v>
      </c>
      <c r="M169" s="22">
        <f t="shared" si="39"/>
        <v>0</v>
      </c>
      <c r="N169" s="22">
        <f t="shared" si="39"/>
        <v>0</v>
      </c>
      <c r="O169" s="22">
        <v>0</v>
      </c>
    </row>
    <row r="170" spans="1:15" ht="15" x14ac:dyDescent="0.25">
      <c r="A170" s="22">
        <f t="shared" si="31"/>
        <v>10</v>
      </c>
      <c r="B170" s="22">
        <f t="shared" ref="B170:N170" si="40">C170+C171</f>
        <v>286</v>
      </c>
      <c r="C170" s="22">
        <f t="shared" si="40"/>
        <v>220</v>
      </c>
      <c r="D170" s="22">
        <f t="shared" si="40"/>
        <v>165</v>
      </c>
      <c r="E170" s="22">
        <f t="shared" si="40"/>
        <v>120</v>
      </c>
      <c r="F170" s="22">
        <f t="shared" si="40"/>
        <v>84</v>
      </c>
      <c r="G170" s="22">
        <f t="shared" si="40"/>
        <v>56</v>
      </c>
      <c r="H170" s="22">
        <f t="shared" si="40"/>
        <v>35</v>
      </c>
      <c r="I170" s="22">
        <f t="shared" si="40"/>
        <v>20</v>
      </c>
      <c r="J170" s="22">
        <f t="shared" si="40"/>
        <v>10</v>
      </c>
      <c r="K170" s="22">
        <f t="shared" si="40"/>
        <v>4</v>
      </c>
      <c r="L170" s="22">
        <f t="shared" si="40"/>
        <v>1</v>
      </c>
      <c r="M170" s="22">
        <f t="shared" si="40"/>
        <v>0</v>
      </c>
      <c r="N170" s="22">
        <f t="shared" si="40"/>
        <v>0</v>
      </c>
      <c r="O170" s="22">
        <v>0</v>
      </c>
    </row>
    <row r="171" spans="1:15" ht="15" x14ac:dyDescent="0.25">
      <c r="A171" s="22">
        <f t="shared" si="31"/>
        <v>11</v>
      </c>
      <c r="B171" s="22">
        <f t="shared" ref="B171:N171" si="41">C171+C172</f>
        <v>78</v>
      </c>
      <c r="C171" s="22">
        <f t="shared" si="41"/>
        <v>66</v>
      </c>
      <c r="D171" s="22">
        <f t="shared" si="41"/>
        <v>55</v>
      </c>
      <c r="E171" s="22">
        <f t="shared" si="41"/>
        <v>45</v>
      </c>
      <c r="F171" s="22">
        <f t="shared" si="41"/>
        <v>36</v>
      </c>
      <c r="G171" s="22">
        <f t="shared" si="41"/>
        <v>28</v>
      </c>
      <c r="H171" s="22">
        <f t="shared" si="41"/>
        <v>21</v>
      </c>
      <c r="I171" s="22">
        <f t="shared" si="41"/>
        <v>15</v>
      </c>
      <c r="J171" s="22">
        <f t="shared" si="41"/>
        <v>10</v>
      </c>
      <c r="K171" s="22">
        <f t="shared" si="41"/>
        <v>6</v>
      </c>
      <c r="L171" s="22">
        <f t="shared" si="41"/>
        <v>3</v>
      </c>
      <c r="M171" s="22">
        <f t="shared" si="41"/>
        <v>1</v>
      </c>
      <c r="N171" s="22">
        <f t="shared" si="41"/>
        <v>0</v>
      </c>
      <c r="O171" s="22">
        <v>0</v>
      </c>
    </row>
    <row r="172" spans="1:15" ht="15" x14ac:dyDescent="0.25">
      <c r="A172" s="22">
        <f t="shared" si="31"/>
        <v>12</v>
      </c>
      <c r="B172" s="22">
        <f t="shared" ref="B172:N172" si="42">C172+C173</f>
        <v>13</v>
      </c>
      <c r="C172" s="22">
        <f t="shared" si="42"/>
        <v>12</v>
      </c>
      <c r="D172" s="22">
        <f t="shared" si="42"/>
        <v>11</v>
      </c>
      <c r="E172" s="22">
        <f t="shared" si="42"/>
        <v>10</v>
      </c>
      <c r="F172" s="22">
        <f t="shared" si="42"/>
        <v>9</v>
      </c>
      <c r="G172" s="22">
        <f t="shared" si="42"/>
        <v>8</v>
      </c>
      <c r="H172" s="22">
        <f t="shared" si="42"/>
        <v>7</v>
      </c>
      <c r="I172" s="22">
        <f t="shared" si="42"/>
        <v>6</v>
      </c>
      <c r="J172" s="22">
        <f t="shared" si="42"/>
        <v>5</v>
      </c>
      <c r="K172" s="22">
        <f t="shared" si="42"/>
        <v>4</v>
      </c>
      <c r="L172" s="22">
        <f t="shared" si="42"/>
        <v>3</v>
      </c>
      <c r="M172" s="22">
        <f t="shared" si="42"/>
        <v>2</v>
      </c>
      <c r="N172" s="22">
        <f t="shared" si="42"/>
        <v>1</v>
      </c>
      <c r="O172" s="22">
        <v>0</v>
      </c>
    </row>
    <row r="173" spans="1:15" ht="15" x14ac:dyDescent="0.25">
      <c r="A173" s="22">
        <f>A172+1</f>
        <v>13</v>
      </c>
      <c r="B173" s="22">
        <v>1</v>
      </c>
      <c r="C173" s="22">
        <v>1</v>
      </c>
      <c r="D173" s="22">
        <v>1</v>
      </c>
      <c r="E173" s="22">
        <v>1</v>
      </c>
      <c r="F173" s="22">
        <v>1</v>
      </c>
      <c r="G173" s="22">
        <v>1</v>
      </c>
      <c r="H173" s="22">
        <v>1</v>
      </c>
      <c r="I173" s="22">
        <v>1</v>
      </c>
      <c r="J173" s="22">
        <v>1</v>
      </c>
      <c r="K173" s="22">
        <v>1</v>
      </c>
      <c r="L173" s="22">
        <v>1</v>
      </c>
      <c r="M173" s="22">
        <v>1</v>
      </c>
      <c r="N173" s="22">
        <v>1</v>
      </c>
      <c r="O173" s="22">
        <v>1</v>
      </c>
    </row>
    <row r="176" spans="1:15" ht="15" x14ac:dyDescent="0.25">
      <c r="B176" s="22">
        <f>B160</f>
        <v>1</v>
      </c>
      <c r="C176" s="22">
        <f>B161</f>
        <v>13</v>
      </c>
      <c r="D176" s="22">
        <f>B162</f>
        <v>78</v>
      </c>
      <c r="E176" s="22">
        <f>B163</f>
        <v>286</v>
      </c>
      <c r="F176" s="22">
        <f>B164</f>
        <v>715</v>
      </c>
      <c r="G176" s="22">
        <f>B165</f>
        <v>1287</v>
      </c>
      <c r="H176" s="22">
        <f>B166</f>
        <v>1716</v>
      </c>
      <c r="I176" s="22">
        <f>B167</f>
        <v>1716</v>
      </c>
      <c r="J176" s="22">
        <f>B168</f>
        <v>1287</v>
      </c>
      <c r="K176" s="22">
        <f>B169</f>
        <v>715</v>
      </c>
      <c r="L176" s="22">
        <f>B170</f>
        <v>286</v>
      </c>
      <c r="M176" s="22">
        <f>B171</f>
        <v>78</v>
      </c>
      <c r="N176" s="22">
        <f>B172</f>
        <v>13</v>
      </c>
      <c r="O176" s="22">
        <f>B173</f>
        <v>1</v>
      </c>
    </row>
    <row r="178" spans="1:15" ht="15" x14ac:dyDescent="0.25">
      <c r="A178" s="22"/>
      <c r="B178" s="22">
        <f>0</f>
        <v>0</v>
      </c>
      <c r="C178" s="22">
        <f>B178+1</f>
        <v>1</v>
      </c>
      <c r="D178" s="22">
        <f t="shared" ref="D178:K178" si="43">C178+1</f>
        <v>2</v>
      </c>
      <c r="E178" s="22">
        <f t="shared" si="43"/>
        <v>3</v>
      </c>
      <c r="F178" s="22">
        <f t="shared" si="43"/>
        <v>4</v>
      </c>
      <c r="G178" s="22">
        <f t="shared" si="43"/>
        <v>5</v>
      </c>
      <c r="H178" s="22">
        <f t="shared" si="43"/>
        <v>6</v>
      </c>
      <c r="I178" s="22">
        <f t="shared" si="43"/>
        <v>7</v>
      </c>
      <c r="J178" s="22">
        <f t="shared" si="43"/>
        <v>8</v>
      </c>
      <c r="K178" s="22">
        <f t="shared" si="43"/>
        <v>9</v>
      </c>
      <c r="L178" s="22">
        <f>K178+1</f>
        <v>10</v>
      </c>
      <c r="M178" s="22">
        <f t="shared" ref="M178:O178" si="44">L178+1</f>
        <v>11</v>
      </c>
      <c r="N178" s="22">
        <f t="shared" si="44"/>
        <v>12</v>
      </c>
      <c r="O178" s="22">
        <f t="shared" si="44"/>
        <v>13</v>
      </c>
    </row>
    <row r="179" spans="1:15" ht="15" x14ac:dyDescent="0.25">
      <c r="A179" s="22">
        <f>0</f>
        <v>0</v>
      </c>
      <c r="B179" s="22">
        <f>(POWER(-1,A179)*($B$176*B160))</f>
        <v>1</v>
      </c>
      <c r="C179" s="22">
        <f>(POWER(-1,$A179+1)*($C$176*C160))</f>
        <v>0</v>
      </c>
      <c r="D179" s="22">
        <f>(POWER(-1,$A179)*($D$176*D160))</f>
        <v>0</v>
      </c>
      <c r="E179" s="22">
        <f>(POWER(-1,$A179+1)*($E$176*E160))</f>
        <v>0</v>
      </c>
      <c r="F179" s="22">
        <f>(POWER(-1,$A179)*($F$176*F160))</f>
        <v>0</v>
      </c>
      <c r="G179" s="22">
        <f>(POWER(-1,$A179+1)*($G$176*G160))</f>
        <v>0</v>
      </c>
      <c r="H179" s="22">
        <f>(POWER(-1,$A179)*($H$176*H160))</f>
        <v>0</v>
      </c>
      <c r="I179" s="22">
        <f>(POWER(-1,$A179+1)*($I$176*I160))</f>
        <v>0</v>
      </c>
      <c r="J179" s="22">
        <f>(POWER(-1,$A179)*($J$176*J160))</f>
        <v>0</v>
      </c>
      <c r="K179" s="22">
        <f>(POWER(-1,$A179+1)*($K$176*K160))</f>
        <v>0</v>
      </c>
      <c r="L179" s="22">
        <f>(POWER(-1,$A179)*($L$176*L160))</f>
        <v>0</v>
      </c>
      <c r="M179" s="22">
        <f>(POWER(-1,$A179+1)*($M$176*M160))</f>
        <v>0</v>
      </c>
      <c r="N179" s="22">
        <f>(POWER(-1,$A179)*($N$176*N160))</f>
        <v>0</v>
      </c>
      <c r="O179" s="22">
        <f>(POWER(-1,$A179)*($L$176*O160))</f>
        <v>0</v>
      </c>
    </row>
    <row r="180" spans="1:15" ht="15" x14ac:dyDescent="0.25">
      <c r="A180" s="22">
        <f>A179+1</f>
        <v>1</v>
      </c>
      <c r="B180" s="22">
        <f>(POWER(-1,A180)*($B$176*B161))</f>
        <v>-13</v>
      </c>
      <c r="C180" s="22">
        <f t="shared" ref="C180:C192" si="45">(POWER(-1,$A180+1)*($C$176*C161))</f>
        <v>13</v>
      </c>
      <c r="D180" s="22">
        <f t="shared" ref="D180:D192" si="46">(POWER(-1,$A180)*($D$176*D161))</f>
        <v>0</v>
      </c>
      <c r="E180" s="22">
        <f t="shared" ref="E180:E192" si="47">(POWER(-1,$A180+1)*($E$176*E161))</f>
        <v>0</v>
      </c>
      <c r="F180" s="22">
        <f t="shared" ref="F180:F192" si="48">(POWER(-1,$A180)*($F$176*F161))</f>
        <v>0</v>
      </c>
      <c r="G180" s="22">
        <f t="shared" ref="G180:G192" si="49">(POWER(-1,$A180+1)*($G$176*G161))</f>
        <v>0</v>
      </c>
      <c r="H180" s="22">
        <f t="shared" ref="H180:H192" si="50">(POWER(-1,$A180)*($H$176*H161))</f>
        <v>0</v>
      </c>
      <c r="I180" s="22">
        <f t="shared" ref="I180:I192" si="51">(POWER(-1,$A180+1)*($I$176*I161))</f>
        <v>0</v>
      </c>
      <c r="J180" s="22">
        <f t="shared" ref="J180:J192" si="52">(POWER(-1,$A180)*($J$176*J161))</f>
        <v>0</v>
      </c>
      <c r="K180" s="22">
        <f t="shared" ref="K180:K192" si="53">(POWER(-1,$A180+1)*($K$176*K161))</f>
        <v>0</v>
      </c>
      <c r="L180" s="22">
        <f>(POWER(-1,$A180)*($L$176*L161))</f>
        <v>0</v>
      </c>
      <c r="M180" s="22">
        <f t="shared" ref="M180:M192" si="54">(POWER(-1,$A180+1)*($M$176*M161))</f>
        <v>0</v>
      </c>
      <c r="N180" s="22">
        <f t="shared" ref="N180:N192" si="55">(POWER(-1,$A180)*($N$176*N161))</f>
        <v>0</v>
      </c>
      <c r="O180" s="22">
        <v>0</v>
      </c>
    </row>
    <row r="181" spans="1:15" ht="15" x14ac:dyDescent="0.25">
      <c r="A181" s="22">
        <f t="shared" ref="A181:A191" si="56">A180+1</f>
        <v>2</v>
      </c>
      <c r="B181" s="22">
        <f t="shared" ref="B181:B192" si="57">(POWER(-1,A181)*($B$176*B162))</f>
        <v>78</v>
      </c>
      <c r="C181" s="22">
        <f t="shared" si="45"/>
        <v>-156</v>
      </c>
      <c r="D181" s="22">
        <f t="shared" si="46"/>
        <v>78</v>
      </c>
      <c r="E181" s="22">
        <f t="shared" si="47"/>
        <v>0</v>
      </c>
      <c r="F181" s="22">
        <f t="shared" si="48"/>
        <v>0</v>
      </c>
      <c r="G181" s="22">
        <f t="shared" si="49"/>
        <v>0</v>
      </c>
      <c r="H181" s="22">
        <f t="shared" si="50"/>
        <v>0</v>
      </c>
      <c r="I181" s="22">
        <f t="shared" si="51"/>
        <v>0</v>
      </c>
      <c r="J181" s="22">
        <f t="shared" si="52"/>
        <v>0</v>
      </c>
      <c r="K181" s="22">
        <f t="shared" si="53"/>
        <v>0</v>
      </c>
      <c r="L181" s="22">
        <f t="shared" ref="L181:L192" si="58">(POWER(-1,$A181)*($L$176*L162))</f>
        <v>0</v>
      </c>
      <c r="M181" s="22">
        <f t="shared" si="54"/>
        <v>0</v>
      </c>
      <c r="N181" s="22">
        <f t="shared" si="55"/>
        <v>0</v>
      </c>
      <c r="O181" s="22">
        <v>0</v>
      </c>
    </row>
    <row r="182" spans="1:15" ht="15" x14ac:dyDescent="0.25">
      <c r="A182" s="22">
        <f t="shared" si="56"/>
        <v>3</v>
      </c>
      <c r="B182" s="22">
        <f t="shared" si="57"/>
        <v>-286</v>
      </c>
      <c r="C182" s="22">
        <f t="shared" si="45"/>
        <v>858</v>
      </c>
      <c r="D182" s="22">
        <f t="shared" si="46"/>
        <v>-858</v>
      </c>
      <c r="E182" s="22">
        <f t="shared" si="47"/>
        <v>286</v>
      </c>
      <c r="F182" s="22">
        <f t="shared" si="48"/>
        <v>0</v>
      </c>
      <c r="G182" s="22">
        <f t="shared" si="49"/>
        <v>0</v>
      </c>
      <c r="H182" s="22">
        <f t="shared" si="50"/>
        <v>0</v>
      </c>
      <c r="I182" s="22">
        <f t="shared" si="51"/>
        <v>0</v>
      </c>
      <c r="J182" s="22">
        <f t="shared" si="52"/>
        <v>0</v>
      </c>
      <c r="K182" s="22">
        <f t="shared" si="53"/>
        <v>0</v>
      </c>
      <c r="L182" s="22">
        <f t="shared" si="58"/>
        <v>0</v>
      </c>
      <c r="M182" s="22">
        <f t="shared" si="54"/>
        <v>0</v>
      </c>
      <c r="N182" s="22">
        <f t="shared" si="55"/>
        <v>0</v>
      </c>
      <c r="O182" s="22">
        <v>0</v>
      </c>
    </row>
    <row r="183" spans="1:15" ht="15" x14ac:dyDescent="0.25">
      <c r="A183" s="22">
        <f t="shared" si="56"/>
        <v>4</v>
      </c>
      <c r="B183" s="22">
        <f t="shared" si="57"/>
        <v>715</v>
      </c>
      <c r="C183" s="22">
        <f t="shared" si="45"/>
        <v>-2860</v>
      </c>
      <c r="D183" s="22">
        <f t="shared" si="46"/>
        <v>4290</v>
      </c>
      <c r="E183" s="22">
        <f t="shared" si="47"/>
        <v>-2860</v>
      </c>
      <c r="F183" s="22">
        <f t="shared" si="48"/>
        <v>715</v>
      </c>
      <c r="G183" s="22">
        <f t="shared" si="49"/>
        <v>0</v>
      </c>
      <c r="H183" s="22">
        <f t="shared" si="50"/>
        <v>0</v>
      </c>
      <c r="I183" s="22">
        <f t="shared" si="51"/>
        <v>0</v>
      </c>
      <c r="J183" s="22">
        <f t="shared" si="52"/>
        <v>0</v>
      </c>
      <c r="K183" s="22">
        <f t="shared" si="53"/>
        <v>0</v>
      </c>
      <c r="L183" s="22">
        <f t="shared" si="58"/>
        <v>0</v>
      </c>
      <c r="M183" s="22">
        <f t="shared" si="54"/>
        <v>0</v>
      </c>
      <c r="N183" s="22">
        <f t="shared" si="55"/>
        <v>0</v>
      </c>
      <c r="O183" s="22">
        <v>0</v>
      </c>
    </row>
    <row r="184" spans="1:15" ht="15" x14ac:dyDescent="0.25">
      <c r="A184" s="22">
        <f t="shared" si="56"/>
        <v>5</v>
      </c>
      <c r="B184" s="22">
        <f t="shared" si="57"/>
        <v>-1287</v>
      </c>
      <c r="C184" s="22">
        <f t="shared" si="45"/>
        <v>6435</v>
      </c>
      <c r="D184" s="22">
        <f t="shared" si="46"/>
        <v>-12870</v>
      </c>
      <c r="E184" s="22">
        <f t="shared" si="47"/>
        <v>12870</v>
      </c>
      <c r="F184" s="22">
        <f t="shared" si="48"/>
        <v>-6435</v>
      </c>
      <c r="G184" s="22">
        <f t="shared" si="49"/>
        <v>1287</v>
      </c>
      <c r="H184" s="22">
        <f t="shared" si="50"/>
        <v>0</v>
      </c>
      <c r="I184" s="22">
        <f t="shared" si="51"/>
        <v>0</v>
      </c>
      <c r="J184" s="22">
        <f t="shared" si="52"/>
        <v>0</v>
      </c>
      <c r="K184" s="22">
        <f t="shared" si="53"/>
        <v>0</v>
      </c>
      <c r="L184" s="22">
        <f t="shared" si="58"/>
        <v>0</v>
      </c>
      <c r="M184" s="22">
        <f t="shared" si="54"/>
        <v>0</v>
      </c>
      <c r="N184" s="22">
        <f t="shared" si="55"/>
        <v>0</v>
      </c>
      <c r="O184" s="22">
        <v>0</v>
      </c>
    </row>
    <row r="185" spans="1:15" ht="15" x14ac:dyDescent="0.25">
      <c r="A185" s="22">
        <f t="shared" si="56"/>
        <v>6</v>
      </c>
      <c r="B185" s="22">
        <f t="shared" si="57"/>
        <v>1716</v>
      </c>
      <c r="C185" s="22">
        <f t="shared" si="45"/>
        <v>-10296</v>
      </c>
      <c r="D185" s="22">
        <f t="shared" si="46"/>
        <v>25740</v>
      </c>
      <c r="E185" s="22">
        <f t="shared" si="47"/>
        <v>-34320</v>
      </c>
      <c r="F185" s="22">
        <f t="shared" si="48"/>
        <v>25740</v>
      </c>
      <c r="G185" s="22">
        <f t="shared" si="49"/>
        <v>-10296</v>
      </c>
      <c r="H185" s="22">
        <f t="shared" si="50"/>
        <v>1716</v>
      </c>
      <c r="I185" s="22">
        <f t="shared" si="51"/>
        <v>0</v>
      </c>
      <c r="J185" s="22">
        <f t="shared" si="52"/>
        <v>0</v>
      </c>
      <c r="K185" s="22">
        <f t="shared" si="53"/>
        <v>0</v>
      </c>
      <c r="L185" s="22">
        <f t="shared" si="58"/>
        <v>0</v>
      </c>
      <c r="M185" s="22">
        <f t="shared" si="54"/>
        <v>0</v>
      </c>
      <c r="N185" s="22">
        <f t="shared" si="55"/>
        <v>0</v>
      </c>
      <c r="O185" s="22">
        <v>0</v>
      </c>
    </row>
    <row r="186" spans="1:15" ht="15" x14ac:dyDescent="0.25">
      <c r="A186" s="22">
        <f t="shared" si="56"/>
        <v>7</v>
      </c>
      <c r="B186" s="22">
        <f t="shared" si="57"/>
        <v>-1716</v>
      </c>
      <c r="C186" s="22">
        <f t="shared" si="45"/>
        <v>12012</v>
      </c>
      <c r="D186" s="22">
        <f t="shared" si="46"/>
        <v>-36036</v>
      </c>
      <c r="E186" s="22">
        <f t="shared" si="47"/>
        <v>60060</v>
      </c>
      <c r="F186" s="22">
        <f t="shared" si="48"/>
        <v>-60060</v>
      </c>
      <c r="G186" s="22">
        <f t="shared" si="49"/>
        <v>36036</v>
      </c>
      <c r="H186" s="22">
        <f t="shared" si="50"/>
        <v>-12012</v>
      </c>
      <c r="I186" s="22">
        <f t="shared" si="51"/>
        <v>1716</v>
      </c>
      <c r="J186" s="22">
        <f t="shared" si="52"/>
        <v>0</v>
      </c>
      <c r="K186" s="22">
        <f t="shared" si="53"/>
        <v>0</v>
      </c>
      <c r="L186" s="22">
        <f t="shared" si="58"/>
        <v>0</v>
      </c>
      <c r="M186" s="22">
        <f t="shared" si="54"/>
        <v>0</v>
      </c>
      <c r="N186" s="22">
        <f t="shared" si="55"/>
        <v>0</v>
      </c>
      <c r="O186" s="22">
        <v>0</v>
      </c>
    </row>
    <row r="187" spans="1:15" ht="15" x14ac:dyDescent="0.25">
      <c r="A187" s="22">
        <f t="shared" si="56"/>
        <v>8</v>
      </c>
      <c r="B187" s="22">
        <f t="shared" si="57"/>
        <v>1287</v>
      </c>
      <c r="C187" s="22">
        <f t="shared" si="45"/>
        <v>-10296</v>
      </c>
      <c r="D187" s="22">
        <f t="shared" si="46"/>
        <v>36036</v>
      </c>
      <c r="E187" s="22">
        <f t="shared" si="47"/>
        <v>-72072</v>
      </c>
      <c r="F187" s="22">
        <f t="shared" si="48"/>
        <v>90090</v>
      </c>
      <c r="G187" s="22">
        <f t="shared" si="49"/>
        <v>-72072</v>
      </c>
      <c r="H187" s="22">
        <f t="shared" si="50"/>
        <v>36036</v>
      </c>
      <c r="I187" s="22">
        <f t="shared" si="51"/>
        <v>-10296</v>
      </c>
      <c r="J187" s="22">
        <f t="shared" si="52"/>
        <v>1287</v>
      </c>
      <c r="K187" s="22">
        <f t="shared" si="53"/>
        <v>0</v>
      </c>
      <c r="L187" s="22">
        <f t="shared" si="58"/>
        <v>0</v>
      </c>
      <c r="M187" s="22">
        <f t="shared" si="54"/>
        <v>0</v>
      </c>
      <c r="N187" s="22">
        <f t="shared" si="55"/>
        <v>0</v>
      </c>
      <c r="O187" s="22">
        <v>0</v>
      </c>
    </row>
    <row r="188" spans="1:15" ht="15" x14ac:dyDescent="0.25">
      <c r="A188" s="22">
        <f t="shared" si="56"/>
        <v>9</v>
      </c>
      <c r="B188" s="22">
        <f t="shared" si="57"/>
        <v>-715</v>
      </c>
      <c r="C188" s="22">
        <f t="shared" si="45"/>
        <v>6435</v>
      </c>
      <c r="D188" s="22">
        <f t="shared" si="46"/>
        <v>-25740</v>
      </c>
      <c r="E188" s="22">
        <f t="shared" si="47"/>
        <v>60060</v>
      </c>
      <c r="F188" s="22">
        <f t="shared" si="48"/>
        <v>-90090</v>
      </c>
      <c r="G188" s="22">
        <f t="shared" si="49"/>
        <v>90090</v>
      </c>
      <c r="H188" s="22">
        <f t="shared" si="50"/>
        <v>-60060</v>
      </c>
      <c r="I188" s="22">
        <f t="shared" si="51"/>
        <v>25740</v>
      </c>
      <c r="J188" s="22">
        <f t="shared" si="52"/>
        <v>-6435</v>
      </c>
      <c r="K188" s="22">
        <f t="shared" si="53"/>
        <v>715</v>
      </c>
      <c r="L188" s="22">
        <f t="shared" si="58"/>
        <v>0</v>
      </c>
      <c r="M188" s="22">
        <f t="shared" si="54"/>
        <v>0</v>
      </c>
      <c r="N188" s="22">
        <f t="shared" si="55"/>
        <v>0</v>
      </c>
      <c r="O188" s="22">
        <v>0</v>
      </c>
    </row>
    <row r="189" spans="1:15" ht="15" x14ac:dyDescent="0.25">
      <c r="A189" s="22">
        <f t="shared" si="56"/>
        <v>10</v>
      </c>
      <c r="B189" s="22">
        <f t="shared" si="57"/>
        <v>286</v>
      </c>
      <c r="C189" s="22">
        <f t="shared" si="45"/>
        <v>-2860</v>
      </c>
      <c r="D189" s="22">
        <f t="shared" si="46"/>
        <v>12870</v>
      </c>
      <c r="E189" s="22">
        <f t="shared" si="47"/>
        <v>-34320</v>
      </c>
      <c r="F189" s="22">
        <f t="shared" si="48"/>
        <v>60060</v>
      </c>
      <c r="G189" s="22">
        <f t="shared" si="49"/>
        <v>-72072</v>
      </c>
      <c r="H189" s="22">
        <f t="shared" si="50"/>
        <v>60060</v>
      </c>
      <c r="I189" s="22">
        <f t="shared" si="51"/>
        <v>-34320</v>
      </c>
      <c r="J189" s="22">
        <f t="shared" si="52"/>
        <v>12870</v>
      </c>
      <c r="K189" s="22">
        <f t="shared" si="53"/>
        <v>-2860</v>
      </c>
      <c r="L189" s="22">
        <f t="shared" si="58"/>
        <v>286</v>
      </c>
      <c r="M189" s="22">
        <f t="shared" si="54"/>
        <v>0</v>
      </c>
      <c r="N189" s="22">
        <f t="shared" si="55"/>
        <v>0</v>
      </c>
      <c r="O189" s="22">
        <v>0</v>
      </c>
    </row>
    <row r="190" spans="1:15" ht="15" x14ac:dyDescent="0.25">
      <c r="A190" s="22">
        <f t="shared" si="56"/>
        <v>11</v>
      </c>
      <c r="B190" s="22">
        <f t="shared" si="57"/>
        <v>-78</v>
      </c>
      <c r="C190" s="22">
        <f t="shared" si="45"/>
        <v>858</v>
      </c>
      <c r="D190" s="22">
        <f t="shared" si="46"/>
        <v>-4290</v>
      </c>
      <c r="E190" s="22">
        <f t="shared" si="47"/>
        <v>12870</v>
      </c>
      <c r="F190" s="22">
        <f t="shared" si="48"/>
        <v>-25740</v>
      </c>
      <c r="G190" s="22">
        <f t="shared" si="49"/>
        <v>36036</v>
      </c>
      <c r="H190" s="22">
        <f t="shared" si="50"/>
        <v>-36036</v>
      </c>
      <c r="I190" s="22">
        <f t="shared" si="51"/>
        <v>25740</v>
      </c>
      <c r="J190" s="22">
        <f t="shared" si="52"/>
        <v>-12870</v>
      </c>
      <c r="K190" s="22">
        <f t="shared" si="53"/>
        <v>4290</v>
      </c>
      <c r="L190" s="22">
        <f t="shared" si="58"/>
        <v>-858</v>
      </c>
      <c r="M190" s="22">
        <f t="shared" si="54"/>
        <v>78</v>
      </c>
      <c r="N190" s="22">
        <f t="shared" si="55"/>
        <v>0</v>
      </c>
      <c r="O190" s="22">
        <v>0</v>
      </c>
    </row>
    <row r="191" spans="1:15" ht="15" x14ac:dyDescent="0.25">
      <c r="A191" s="22">
        <f t="shared" si="56"/>
        <v>12</v>
      </c>
      <c r="B191" s="22">
        <f t="shared" si="57"/>
        <v>13</v>
      </c>
      <c r="C191" s="22">
        <f t="shared" si="45"/>
        <v>-156</v>
      </c>
      <c r="D191" s="22">
        <f t="shared" si="46"/>
        <v>858</v>
      </c>
      <c r="E191" s="22">
        <f t="shared" si="47"/>
        <v>-2860</v>
      </c>
      <c r="F191" s="22">
        <f t="shared" si="48"/>
        <v>6435</v>
      </c>
      <c r="G191" s="22">
        <f t="shared" si="49"/>
        <v>-10296</v>
      </c>
      <c r="H191" s="22">
        <f t="shared" si="50"/>
        <v>12012</v>
      </c>
      <c r="I191" s="22">
        <f t="shared" si="51"/>
        <v>-10296</v>
      </c>
      <c r="J191" s="22">
        <f t="shared" si="52"/>
        <v>6435</v>
      </c>
      <c r="K191" s="22">
        <f t="shared" si="53"/>
        <v>-2860</v>
      </c>
      <c r="L191" s="22">
        <f t="shared" si="58"/>
        <v>858</v>
      </c>
      <c r="M191" s="22">
        <f t="shared" si="54"/>
        <v>-156</v>
      </c>
      <c r="N191" s="22">
        <f t="shared" si="55"/>
        <v>13</v>
      </c>
      <c r="O191" s="22">
        <v>0</v>
      </c>
    </row>
    <row r="192" spans="1:15" ht="15" x14ac:dyDescent="0.25">
      <c r="A192" s="22">
        <f>A191+1</f>
        <v>13</v>
      </c>
      <c r="B192" s="22">
        <f t="shared" si="57"/>
        <v>-1</v>
      </c>
      <c r="C192" s="22">
        <f t="shared" si="45"/>
        <v>13</v>
      </c>
      <c r="D192" s="22">
        <f t="shared" si="46"/>
        <v>-78</v>
      </c>
      <c r="E192" s="22">
        <f t="shared" si="47"/>
        <v>286</v>
      </c>
      <c r="F192" s="22">
        <f t="shared" si="48"/>
        <v>-715</v>
      </c>
      <c r="G192" s="22">
        <f t="shared" si="49"/>
        <v>1287</v>
      </c>
      <c r="H192" s="22">
        <f t="shared" si="50"/>
        <v>-1716</v>
      </c>
      <c r="I192" s="22">
        <f t="shared" si="51"/>
        <v>1716</v>
      </c>
      <c r="J192" s="22">
        <f t="shared" si="52"/>
        <v>-1287</v>
      </c>
      <c r="K192" s="22">
        <f t="shared" si="53"/>
        <v>715</v>
      </c>
      <c r="L192" s="22">
        <f t="shared" si="58"/>
        <v>-286</v>
      </c>
      <c r="M192" s="22">
        <f t="shared" si="54"/>
        <v>78</v>
      </c>
      <c r="N192" s="22">
        <f t="shared" si="55"/>
        <v>-13</v>
      </c>
      <c r="O192" s="22">
        <v>1</v>
      </c>
    </row>
    <row r="195" spans="1:3" x14ac:dyDescent="0.2">
      <c r="A195" t="s">
        <v>44</v>
      </c>
    </row>
    <row r="199" spans="1:3" ht="15" x14ac:dyDescent="0.25">
      <c r="A199" s="22">
        <f>0</f>
        <v>0</v>
      </c>
      <c r="B199" s="22">
        <f t="array" ref="B199:C212">MMULT(B179:O192,B6:C19)</f>
        <v>80</v>
      </c>
      <c r="C199" s="22">
        <v>30</v>
      </c>
    </row>
    <row r="200" spans="1:3" ht="15" x14ac:dyDescent="0.25">
      <c r="A200" s="22">
        <f>A199+1</f>
        <v>1</v>
      </c>
      <c r="B200" s="22">
        <v>-390</v>
      </c>
      <c r="C200" s="22">
        <v>130</v>
      </c>
    </row>
    <row r="201" spans="1:3" ht="15" x14ac:dyDescent="0.25">
      <c r="A201" s="22">
        <f t="shared" ref="A201:A211" si="59">A200+1</f>
        <v>2</v>
      </c>
      <c r="B201" s="22">
        <v>-780</v>
      </c>
      <c r="C201" s="22">
        <v>-2340</v>
      </c>
    </row>
    <row r="202" spans="1:3" ht="15" x14ac:dyDescent="0.25">
      <c r="A202" s="22">
        <f t="shared" si="59"/>
        <v>3</v>
      </c>
      <c r="B202" s="22">
        <v>25740</v>
      </c>
      <c r="C202" s="22">
        <v>11440</v>
      </c>
    </row>
    <row r="203" spans="1:3" ht="15" x14ac:dyDescent="0.25">
      <c r="A203" s="22">
        <f t="shared" si="59"/>
        <v>4</v>
      </c>
      <c r="B203" s="22">
        <v>-128700</v>
      </c>
      <c r="C203" s="22">
        <v>-14300</v>
      </c>
    </row>
    <row r="204" spans="1:3" ht="15" x14ac:dyDescent="0.25">
      <c r="A204" s="22">
        <f t="shared" si="59"/>
        <v>5</v>
      </c>
      <c r="B204" s="22">
        <v>347490</v>
      </c>
      <c r="C204" s="22">
        <v>-38610</v>
      </c>
    </row>
    <row r="205" spans="1:3" ht="15" x14ac:dyDescent="0.25">
      <c r="A205" s="22">
        <f t="shared" si="59"/>
        <v>6</v>
      </c>
      <c r="B205" s="22">
        <v>-669240</v>
      </c>
      <c r="C205" s="22">
        <v>154440</v>
      </c>
    </row>
    <row r="206" spans="1:3" ht="15" x14ac:dyDescent="0.25">
      <c r="A206" s="22">
        <f t="shared" si="59"/>
        <v>7</v>
      </c>
      <c r="B206" s="22">
        <v>1029600</v>
      </c>
      <c r="C206" s="22">
        <v>-205920</v>
      </c>
    </row>
    <row r="207" spans="1:3" ht="15" x14ac:dyDescent="0.25">
      <c r="A207" s="22">
        <f t="shared" si="59"/>
        <v>8</v>
      </c>
      <c r="B207" s="22">
        <v>-1248390</v>
      </c>
      <c r="C207" s="22">
        <v>77220</v>
      </c>
    </row>
    <row r="208" spans="1:3" ht="15" x14ac:dyDescent="0.25">
      <c r="A208" s="22">
        <f t="shared" si="59"/>
        <v>9</v>
      </c>
      <c r="B208" s="22">
        <v>1165450</v>
      </c>
      <c r="C208" s="22">
        <v>128700</v>
      </c>
    </row>
    <row r="209" spans="1:3" ht="15" x14ac:dyDescent="0.25">
      <c r="A209" s="22">
        <f t="shared" si="59"/>
        <v>10</v>
      </c>
      <c r="B209" s="22">
        <v>-866580</v>
      </c>
      <c r="C209" s="22">
        <v>-205920</v>
      </c>
    </row>
    <row r="210" spans="1:3" ht="15" x14ac:dyDescent="0.25">
      <c r="A210" s="22">
        <f t="shared" si="59"/>
        <v>11</v>
      </c>
      <c r="B210" s="22">
        <v>512460</v>
      </c>
      <c r="C210" s="22">
        <v>126360</v>
      </c>
    </row>
    <row r="211" spans="1:3" ht="15" x14ac:dyDescent="0.25">
      <c r="A211" s="22">
        <f t="shared" si="59"/>
        <v>12</v>
      </c>
      <c r="B211" s="22">
        <v>-204490</v>
      </c>
      <c r="C211" s="22">
        <v>-33345</v>
      </c>
    </row>
    <row r="212" spans="1:3" ht="15" x14ac:dyDescent="0.25">
      <c r="A212" s="22">
        <f>A211+1</f>
        <v>13</v>
      </c>
      <c r="B212" s="22">
        <v>37770</v>
      </c>
      <c r="C212" s="22">
        <v>2175</v>
      </c>
    </row>
    <row r="215" spans="1:3" ht="15" x14ac:dyDescent="0.25">
      <c r="A215" s="22" t="s">
        <v>45</v>
      </c>
      <c r="B215" s="22"/>
    </row>
    <row r="216" spans="1:3" ht="15" x14ac:dyDescent="0.25">
      <c r="A216" s="22" t="s">
        <v>0</v>
      </c>
      <c r="B216" s="22" t="s">
        <v>1</v>
      </c>
    </row>
    <row r="217" spans="1:3" ht="15" x14ac:dyDescent="0.25">
      <c r="A217" s="22">
        <f t="array" ref="A217:B317">MMULT(B53:O153, B199:C212)</f>
        <v>80</v>
      </c>
      <c r="B217" s="22">
        <v>30</v>
      </c>
    </row>
    <row r="218" spans="1:3" ht="15" x14ac:dyDescent="0.25">
      <c r="A218" s="22">
        <v>76.046487089932299</v>
      </c>
      <c r="B218" s="22">
        <v>31.077293291388646</v>
      </c>
    </row>
    <row r="219" spans="1:3" ht="15" x14ac:dyDescent="0.25">
      <c r="A219" s="22">
        <v>72.074398423157191</v>
      </c>
      <c r="B219" s="22">
        <v>31.753118070623042</v>
      </c>
    </row>
    <row r="220" spans="1:3" ht="15" x14ac:dyDescent="0.25">
      <c r="A220" s="22">
        <v>68.196710851760116</v>
      </c>
      <c r="B220" s="22">
        <v>32.090466913367472</v>
      </c>
    </row>
    <row r="221" spans="1:3" ht="15" x14ac:dyDescent="0.25">
      <c r="A221" s="22">
        <v>64.502890573815819</v>
      </c>
      <c r="B221" s="22">
        <v>32.148197722007339</v>
      </c>
    </row>
    <row r="222" spans="1:3" ht="15" x14ac:dyDescent="0.25">
      <c r="A222" s="22">
        <v>61.062016553860985</v>
      </c>
      <c r="B222" s="22">
        <v>31.980814873272937</v>
      </c>
    </row>
    <row r="223" spans="1:3" ht="15" x14ac:dyDescent="0.25">
      <c r="A223" s="22">
        <v>57.925555941248895</v>
      </c>
      <c r="B223" s="22">
        <v>31.638332119423076</v>
      </c>
    </row>
    <row r="224" spans="1:3" ht="15" x14ac:dyDescent="0.25">
      <c r="A224" s="22">
        <v>55.129828233749492</v>
      </c>
      <c r="B224" s="22">
        <v>31.166208196969983</v>
      </c>
    </row>
    <row r="225" spans="1:2" ht="15" x14ac:dyDescent="0.25">
      <c r="A225" s="22">
        <v>52.698191353137965</v>
      </c>
      <c r="B225" s="22">
        <v>30.605346538658907</v>
      </c>
    </row>
    <row r="226" spans="1:2" ht="15" x14ac:dyDescent="0.25">
      <c r="A226" s="22">
        <v>50.642979520173554</v>
      </c>
      <c r="B226" s="22">
        <v>29.992150944254</v>
      </c>
    </row>
    <row r="227" spans="1:2" ht="15" x14ac:dyDescent="0.25">
      <c r="A227" s="22">
        <v>48.967219815886999</v>
      </c>
      <c r="B227" s="22">
        <v>29.358629538472506</v>
      </c>
    </row>
    <row r="228" spans="1:2" ht="15" x14ac:dyDescent="0.25">
      <c r="A228" s="22">
        <v>47.666151573577096</v>
      </c>
      <c r="B228" s="22">
        <v>28.732539825417216</v>
      </c>
    </row>
    <row r="229" spans="1:2" ht="15" x14ac:dyDescent="0.25">
      <c r="A229" s="22">
        <v>46.728570241942336</v>
      </c>
      <c r="B229" s="22">
        <v>28.137568133751316</v>
      </c>
    </row>
    <row r="230" spans="1:2" ht="15" x14ac:dyDescent="0.25">
      <c r="A230" s="22">
        <v>46.138015076290721</v>
      </c>
      <c r="B230" s="22">
        <v>27.59353723169567</v>
      </c>
    </row>
    <row r="231" spans="1:2" ht="15" x14ac:dyDescent="0.25">
      <c r="A231" s="22">
        <v>45.873817935031958</v>
      </c>
      <c r="B231" s="22">
        <v>27.116636372139482</v>
      </c>
    </row>
    <row r="232" spans="1:2" ht="15" x14ac:dyDescent="0.25">
      <c r="A232" s="22">
        <v>45.912028567132154</v>
      </c>
      <c r="B232" s="22">
        <v>26.719668502526577</v>
      </c>
    </row>
    <row r="233" spans="1:2" ht="15" x14ac:dyDescent="0.25">
      <c r="A233" s="22">
        <v>46.226230058526305</v>
      </c>
      <c r="B233" s="22">
        <v>26.412309838849573</v>
      </c>
    </row>
    <row r="234" spans="1:2" ht="15" x14ac:dyDescent="0.25">
      <c r="A234" s="22">
        <v>46.788256548327944</v>
      </c>
      <c r="B234" s="22">
        <v>26.201377455510968</v>
      </c>
    </row>
    <row r="235" spans="1:2" ht="15" x14ac:dyDescent="0.25">
      <c r="A235" s="22">
        <v>47.5688239167592</v>
      </c>
      <c r="B235" s="22">
        <v>26.0911009807776</v>
      </c>
    </row>
    <row r="236" spans="1:2" ht="15" x14ac:dyDescent="0.25">
      <c r="A236" s="22">
        <v>48.538082874679851</v>
      </c>
      <c r="B236" s="22">
        <v>26.083394909137741</v>
      </c>
    </row>
    <row r="237" spans="1:2" ht="15" x14ac:dyDescent="0.25">
      <c r="A237" s="22">
        <v>49.66610273894397</v>
      </c>
      <c r="B237" s="22">
        <v>26.178128445439992</v>
      </c>
    </row>
    <row r="238" spans="1:2" ht="15" x14ac:dyDescent="0.25">
      <c r="A238" s="22">
        <v>50.9232931488771</v>
      </c>
      <c r="B238" s="22">
        <v>26.373390179885796</v>
      </c>
    </row>
    <row r="239" spans="1:2" ht="15" x14ac:dyDescent="0.25">
      <c r="A239" s="22">
        <v>52.280770058021993</v>
      </c>
      <c r="B239" s="22">
        <v>26.665745256665772</v>
      </c>
    </row>
    <row r="240" spans="1:2" ht="15" x14ac:dyDescent="0.25">
      <c r="A240" s="22">
        <v>53.710671513721955</v>
      </c>
      <c r="B240" s="22">
        <v>27.050483041416815</v>
      </c>
    </row>
    <row r="241" spans="1:2" ht="15" x14ac:dyDescent="0.25">
      <c r="A241" s="22">
        <v>55.186428007491692</v>
      </c>
      <c r="B241" s="22">
        <v>27.521853613110395</v>
      </c>
    </row>
    <row r="242" spans="1:2" ht="15" x14ac:dyDescent="0.25">
      <c r="A242" s="22">
        <v>56.682991534471512</v>
      </c>
      <c r="B242" s="22">
        <v>28.073291704058647</v>
      </c>
    </row>
    <row r="243" spans="1:2" ht="15" x14ac:dyDescent="0.25">
      <c r="A243" s="22">
        <v>58.177026934074846</v>
      </c>
      <c r="B243" s="22">
        <v>28.697626987244124</v>
      </c>
    </row>
    <row r="244" spans="1:2" ht="15" x14ac:dyDescent="0.25">
      <c r="A244" s="22">
        <v>59.647068590251799</v>
      </c>
      <c r="B244" s="22">
        <v>29.387279863136786</v>
      </c>
    </row>
    <row r="245" spans="1:2" ht="15" x14ac:dyDescent="0.25">
      <c r="A245" s="22">
        <v>61.073645143020428</v>
      </c>
      <c r="B245" s="22">
        <v>30.134442128729646</v>
      </c>
    </row>
    <row r="246" spans="1:2" ht="15" x14ac:dyDescent="0.25">
      <c r="A246" s="22">
        <v>62.439374497929947</v>
      </c>
      <c r="B246" s="22">
        <v>30.931242120042597</v>
      </c>
    </row>
    <row r="247" spans="1:2" ht="15" x14ac:dyDescent="0.25">
      <c r="A247" s="22">
        <v>63.729031112080868</v>
      </c>
      <c r="B247" s="22">
        <v>31.76989410630749</v>
      </c>
    </row>
    <row r="248" spans="1:2" ht="15" x14ac:dyDescent="0.25">
      <c r="A248" s="22">
        <v>64.929587279767546</v>
      </c>
      <c r="B248" s="22">
        <v>32.64283188008524</v>
      </c>
    </row>
    <row r="249" spans="1:2" ht="15" x14ac:dyDescent="0.25">
      <c r="A249" s="22">
        <v>66.03022993348273</v>
      </c>
      <c r="B249" s="22">
        <v>33.542826633450773</v>
      </c>
    </row>
    <row r="250" spans="1:2" ht="15" x14ac:dyDescent="0.25">
      <c r="A250" s="22">
        <v>67.022354312988384</v>
      </c>
      <c r="B250" s="22">
        <v>34.463089336984119</v>
      </c>
    </row>
    <row r="251" spans="1:2" ht="15" x14ac:dyDescent="0.25">
      <c r="A251" s="22">
        <v>67.89953573261873</v>
      </c>
      <c r="B251" s="22">
        <v>35.397357946614143</v>
      </c>
    </row>
    <row r="252" spans="1:2" ht="15" x14ac:dyDescent="0.25">
      <c r="A252" s="22">
        <v>68.657480591359274</v>
      </c>
      <c r="B252" s="22">
        <v>36.339969854453649</v>
      </c>
    </row>
    <row r="253" spans="1:2" ht="15" x14ac:dyDescent="0.25">
      <c r="A253" s="22">
        <v>69.293957718144725</v>
      </c>
      <c r="B253" s="22">
        <v>37.285920074791967</v>
      </c>
    </row>
    <row r="254" spans="1:2" ht="15" x14ac:dyDescent="0.25">
      <c r="A254" s="22">
        <v>69.808711122860686</v>
      </c>
      <c r="B254" s="22">
        <v>38.230905716605186</v>
      </c>
    </row>
    <row r="255" spans="1:2" ht="15" x14ac:dyDescent="0.25">
      <c r="A255" s="22">
        <v>70.203355228613503</v>
      </c>
      <c r="B255" s="22">
        <v>39.17135734057824</v>
      </c>
    </row>
    <row r="256" spans="1:2" ht="15" x14ac:dyDescent="0.25">
      <c r="A256" s="22">
        <v>70.481253689751185</v>
      </c>
      <c r="B256" s="22">
        <v>40.104457833046006</v>
      </c>
    </row>
    <row r="257" spans="1:2" ht="15" x14ac:dyDescent="0.25">
      <c r="A257" s="22">
        <v>70.647382949888083</v>
      </c>
      <c r="B257" s="22">
        <v>41.028149452799937</v>
      </c>
    </row>
    <row r="258" spans="1:2" ht="15" x14ac:dyDescent="0.25">
      <c r="A258" s="22">
        <v>70.708181761775023</v>
      </c>
      <c r="B258" s="22">
        <v>41.94112972077032</v>
      </c>
    </row>
    <row r="259" spans="1:2" ht="15" x14ac:dyDescent="0.25">
      <c r="A259" s="22">
        <v>70.67138797336024</v>
      </c>
      <c r="B259" s="22">
        <v>42.842836828566796</v>
      </c>
    </row>
    <row r="260" spans="1:2" ht="15" x14ac:dyDescent="0.25">
      <c r="A260" s="22">
        <v>70.545863978769376</v>
      </c>
      <c r="B260" s="22">
        <v>43.733425241144218</v>
      </c>
    </row>
    <row r="261" spans="1:2" ht="15" x14ac:dyDescent="0.25">
      <c r="A261" s="22">
        <v>70.341412336436207</v>
      </c>
      <c r="B261" s="22">
        <v>44.613732162838694</v>
      </c>
    </row>
    <row r="262" spans="1:2" ht="15" x14ac:dyDescent="0.25">
      <c r="A262" s="22">
        <v>70.068583166242334</v>
      </c>
      <c r="B262" s="22">
        <v>45.485235526066475</v>
      </c>
    </row>
    <row r="263" spans="1:2" ht="15" x14ac:dyDescent="0.25">
      <c r="A263" s="22">
        <v>69.73847505026491</v>
      </c>
      <c r="B263" s="22">
        <v>46.350004149405031</v>
      </c>
    </row>
    <row r="264" spans="1:2" ht="15" x14ac:dyDescent="0.25">
      <c r="A264" s="22">
        <v>69.362531275118428</v>
      </c>
      <c r="B264" s="22">
        <v>47.210640697915608</v>
      </c>
    </row>
    <row r="265" spans="1:2" ht="15" x14ac:dyDescent="0.25">
      <c r="A265" s="22">
        <v>68.952333364478278</v>
      </c>
      <c r="B265" s="22">
        <v>48.070218064608845</v>
      </c>
    </row>
    <row r="266" spans="1:2" ht="15" x14ac:dyDescent="0.25">
      <c r="A266" s="22">
        <v>68.51939395573325</v>
      </c>
      <c r="B266" s="22">
        <v>48.93220977912393</v>
      </c>
    </row>
    <row r="267" spans="1:2" ht="15" x14ac:dyDescent="0.25">
      <c r="A267" s="22">
        <v>68.074951171875</v>
      </c>
      <c r="B267" s="22">
        <v>49.8004150390625</v>
      </c>
    </row>
    <row r="268" spans="1:2" ht="15" x14ac:dyDescent="0.25">
      <c r="A268" s="22">
        <v>67.629766725796244</v>
      </c>
      <c r="B268" s="22">
        <v>50.678878952033052</v>
      </c>
    </row>
    <row r="269" spans="1:2" ht="15" x14ac:dyDescent="0.25">
      <c r="A269" s="22">
        <v>67.193930066412776</v>
      </c>
      <c r="B269" s="22">
        <v>51.571808573234215</v>
      </c>
    </row>
    <row r="270" spans="1:2" ht="15" x14ac:dyDescent="0.25">
      <c r="A270" s="22">
        <v>66.776670931683029</v>
      </c>
      <c r="B270" s="22">
        <v>52.483485325197513</v>
      </c>
    </row>
    <row r="271" spans="1:2" ht="15" x14ac:dyDescent="0.25">
      <c r="A271" s="22">
        <v>66.386182710104208</v>
      </c>
      <c r="B271" s="22">
        <v>53.418174393789933</v>
      </c>
    </row>
    <row r="272" spans="1:2" ht="15" x14ac:dyDescent="0.25">
      <c r="A272" s="22">
        <v>66.02945902680176</v>
      </c>
      <c r="B272" s="22">
        <v>54.380031708408033</v>
      </c>
    </row>
    <row r="273" spans="1:2" ht="15" x14ac:dyDescent="0.25">
      <c r="A273" s="22">
        <v>65.712145960415143</v>
      </c>
      <c r="B273" s="22">
        <v>55.37300913489981</v>
      </c>
    </row>
    <row r="274" spans="1:2" ht="15" x14ac:dyDescent="0.25">
      <c r="A274" s="22">
        <v>65.438412260869541</v>
      </c>
      <c r="B274" s="22">
        <v>56.400758537448851</v>
      </c>
    </row>
    <row r="275" spans="1:2" ht="15" x14ac:dyDescent="0.25">
      <c r="A275" s="22">
        <v>65.210839872114349</v>
      </c>
      <c r="B275" s="22">
        <v>57.466535400739311</v>
      </c>
    </row>
    <row r="276" spans="1:2" ht="15" x14ac:dyDescent="0.25">
      <c r="A276" s="22">
        <v>65.03033696796281</v>
      </c>
      <c r="B276" s="22">
        <v>58.573102745998106</v>
      </c>
    </row>
    <row r="277" spans="1:2" ht="15" x14ac:dyDescent="0.25">
      <c r="A277" s="22">
        <v>64.896075579387855</v>
      </c>
      <c r="B277" s="22">
        <v>59.722636124159131</v>
      </c>
    </row>
    <row r="278" spans="1:2" ht="15" x14ac:dyDescent="0.25">
      <c r="A278" s="22">
        <v>64.805455728009093</v>
      </c>
      <c r="B278" s="22">
        <v>60.916630525745866</v>
      </c>
    </row>
    <row r="279" spans="1:2" ht="15" x14ac:dyDescent="0.25">
      <c r="A279" s="22">
        <v>64.754097780511628</v>
      </c>
      <c r="B279" s="22">
        <v>62.155810109947673</v>
      </c>
    </row>
    <row r="280" spans="1:2" ht="15" x14ac:dyDescent="0.25">
      <c r="A280" s="22">
        <v>64.735864502408361</v>
      </c>
      <c r="B280" s="22">
        <v>63.440041723898695</v>
      </c>
    </row>
    <row r="281" spans="1:2" ht="15" x14ac:dyDescent="0.25">
      <c r="A281" s="22">
        <v>64.742914014702095</v>
      </c>
      <c r="B281" s="22">
        <v>64.768253256521362</v>
      </c>
    </row>
    <row r="282" spans="1:2" ht="15" x14ac:dyDescent="0.25">
      <c r="A282" s="22">
        <v>64.765784545220015</v>
      </c>
      <c r="B282" s="22">
        <v>66.138357948402174</v>
      </c>
    </row>
    <row r="283" spans="1:2" ht="15" x14ac:dyDescent="0.25">
      <c r="A283" s="22">
        <v>64.793511515796837</v>
      </c>
      <c r="B283" s="22">
        <v>67.547185858721889</v>
      </c>
    </row>
    <row r="284" spans="1:2" ht="15" x14ac:dyDescent="0.25">
      <c r="A284" s="22">
        <v>64.813777119189353</v>
      </c>
      <c r="B284" s="22">
        <v>68.990423770763755</v>
      </c>
    </row>
    <row r="285" spans="1:2" ht="15" x14ac:dyDescent="0.25">
      <c r="A285" s="22">
        <v>64.813092115465736</v>
      </c>
      <c r="B285" s="22">
        <v>70.462564897066358</v>
      </c>
    </row>
    <row r="286" spans="1:2" ht="15" x14ac:dyDescent="0.25">
      <c r="A286" s="22">
        <v>64.777009119495517</v>
      </c>
      <c r="B286" s="22">
        <v>71.95686982222864</v>
      </c>
    </row>
    <row r="287" spans="1:2" ht="15" x14ac:dyDescent="0.25">
      <c r="A287" s="22">
        <v>64.69036616053603</v>
      </c>
      <c r="B287" s="22">
        <v>73.465340192979369</v>
      </c>
    </row>
    <row r="288" spans="1:2" ht="15" x14ac:dyDescent="0.25">
      <c r="A288" s="22">
        <v>64.537558774139882</v>
      </c>
      <c r="B288" s="22">
        <v>74.978706729487115</v>
      </c>
    </row>
    <row r="289" spans="1:2" ht="15" x14ac:dyDescent="0.25">
      <c r="A289" s="22">
        <v>64.302838341193478</v>
      </c>
      <c r="B289" s="22">
        <v>76.486433185770196</v>
      </c>
    </row>
    <row r="290" spans="1:2" ht="15" x14ac:dyDescent="0.25">
      <c r="A290" s="22">
        <v>63.970633821937895</v>
      </c>
      <c r="B290" s="22">
        <v>77.976737927613968</v>
      </c>
    </row>
    <row r="291" spans="1:2" ht="15" x14ac:dyDescent="0.25">
      <c r="A291" s="22">
        <v>63.525893449041064</v>
      </c>
      <c r="B291" s="22">
        <v>79.436634820700249</v>
      </c>
    </row>
    <row r="292" spans="1:2" ht="15" x14ac:dyDescent="0.25">
      <c r="A292" s="22">
        <v>62.954442352056503</v>
      </c>
      <c r="B292" s="22">
        <v>80.851995125412941</v>
      </c>
    </row>
    <row r="293" spans="1:2" ht="15" x14ac:dyDescent="0.25">
      <c r="A293" s="22">
        <v>62.243351489275256</v>
      </c>
      <c r="B293" s="22">
        <v>82.207632074918195</v>
      </c>
    </row>
    <row r="294" spans="1:2" ht="15" x14ac:dyDescent="0.25">
      <c r="A294" s="22">
        <v>61.381312674359833</v>
      </c>
      <c r="B294" s="22">
        <v>83.487409764937212</v>
      </c>
    </row>
    <row r="295" spans="1:2" ht="15" x14ac:dyDescent="0.25">
      <c r="A295" s="22">
        <v>60.35901391144148</v>
      </c>
      <c r="B295" s="22">
        <v>84.674377902896225</v>
      </c>
    </row>
    <row r="296" spans="1:2" ht="15" x14ac:dyDescent="0.25">
      <c r="A296" s="22">
        <v>59.169508702297207</v>
      </c>
      <c r="B296" s="22">
        <v>85.750933846627106</v>
      </c>
    </row>
    <row r="297" spans="1:2" ht="15" x14ac:dyDescent="0.25">
      <c r="A297" s="22">
        <v>57.808572481521423</v>
      </c>
      <c r="B297" s="22">
        <v>86.699013201915122</v>
      </c>
    </row>
    <row r="298" spans="1:2" ht="15" x14ac:dyDescent="0.25">
      <c r="A298" s="22">
        <v>56.275038872700861</v>
      </c>
      <c r="B298" s="22">
        <v>87.500310041103745</v>
      </c>
    </row>
    <row r="299" spans="1:2" ht="15" x14ac:dyDescent="0.25">
      <c r="A299" s="22">
        <v>54.571108068419562</v>
      </c>
      <c r="B299" s="22">
        <v>88.136527542799513</v>
      </c>
    </row>
    <row r="300" spans="1:2" ht="15" x14ac:dyDescent="0.25">
      <c r="A300" s="22">
        <v>52.702619321885322</v>
      </c>
      <c r="B300" s="22">
        <v>88.589659533084017</v>
      </c>
    </row>
    <row r="301" spans="1:2" ht="15" x14ac:dyDescent="0.25">
      <c r="A301" s="22">
        <v>50.67927932606699</v>
      </c>
      <c r="B301" s="22">
        <v>88.842303021642977</v>
      </c>
    </row>
    <row r="302" spans="1:2" ht="15" x14ac:dyDescent="0.25">
      <c r="A302" s="22">
        <v>48.514838167553535</v>
      </c>
      <c r="B302" s="22">
        <v>88.878001367546119</v>
      </c>
    </row>
    <row r="303" spans="1:2" ht="15" x14ac:dyDescent="0.25">
      <c r="A303" s="22">
        <v>46.227204580114631</v>
      </c>
      <c r="B303" s="22">
        <v>88.681617172055439</v>
      </c>
    </row>
    <row r="304" spans="1:2" ht="15" x14ac:dyDescent="0.25">
      <c r="A304" s="22">
        <v>43.838492444512667</v>
      </c>
      <c r="B304" s="22">
        <v>88.2397333699044</v>
      </c>
    </row>
    <row r="305" spans="1:2" ht="15" x14ac:dyDescent="0.25">
      <c r="A305" s="22">
        <v>41.374990874646755</v>
      </c>
      <c r="B305" s="22">
        <v>87.541080272026534</v>
      </c>
    </row>
    <row r="306" spans="1:2" ht="15" x14ac:dyDescent="0.25">
      <c r="A306" s="22">
        <v>38.867050843762627</v>
      </c>
      <c r="B306" s="22">
        <v>86.576985490448408</v>
      </c>
    </row>
    <row r="307" spans="1:2" ht="15" x14ac:dyDescent="0.25">
      <c r="A307" s="22">
        <v>36.348882172260346</v>
      </c>
      <c r="B307" s="22">
        <v>85.341842743006964</v>
      </c>
    </row>
    <row r="308" spans="1:2" ht="15" x14ac:dyDescent="0.25">
      <c r="A308" s="22">
        <v>33.85825583066071</v>
      </c>
      <c r="B308" s="22">
        <v>83.833594483307706</v>
      </c>
    </row>
    <row r="309" spans="1:2" ht="15" x14ac:dyDescent="0.25">
      <c r="A309" s="22">
        <v>31.436107958174034</v>
      </c>
      <c r="B309" s="22">
        <v>82.054222119104566</v>
      </c>
    </row>
    <row r="310" spans="1:2" ht="15" x14ac:dyDescent="0.25">
      <c r="A310" s="22">
        <v>29.126043800430125</v>
      </c>
      <c r="B310" s="22">
        <v>80.010236262393846</v>
      </c>
    </row>
    <row r="311" spans="1:2" ht="15" x14ac:dyDescent="0.25">
      <c r="A311" s="22">
        <v>26.973741946552764</v>
      </c>
      <c r="B311" s="22">
        <v>77.713157985848511</v>
      </c>
    </row>
    <row r="312" spans="1:2" ht="15" x14ac:dyDescent="0.25">
      <c r="A312" s="22">
        <v>25.026261852835887</v>
      </c>
      <c r="B312" s="22">
        <v>75.179980432421871</v>
      </c>
    </row>
    <row r="313" spans="1:2" ht="15" x14ac:dyDescent="0.25">
      <c r="A313" s="22">
        <v>23.331260735940305</v>
      </c>
      <c r="B313" s="22">
        <v>72.433598328417474</v>
      </c>
    </row>
    <row r="314" spans="1:2" ht="15" x14ac:dyDescent="0.25">
      <c r="A314" s="22">
        <v>21.936129505269491</v>
      </c>
      <c r="B314" s="22">
        <v>69.503190972349557</v>
      </c>
    </row>
    <row r="315" spans="1:2" ht="15" x14ac:dyDescent="0.25">
      <c r="A315" s="22">
        <v>20.887061594348779</v>
      </c>
      <c r="B315" s="22">
        <v>66.424542103736258</v>
      </c>
    </row>
    <row r="316" spans="1:2" ht="15" x14ac:dyDescent="0.25">
      <c r="A316" s="22">
        <v>20.228073332415079</v>
      </c>
      <c r="B316" s="22">
        <v>63.240277679476321</v>
      </c>
    </row>
    <row r="317" spans="1:2" ht="15" x14ac:dyDescent="0.25">
      <c r="A317" s="22">
        <v>20</v>
      </c>
      <c r="B317" s="22">
        <v>60</v>
      </c>
    </row>
    <row r="320" spans="1:2" x14ac:dyDescent="0.2">
      <c r="A320" t="s">
        <v>46</v>
      </c>
    </row>
    <row r="321" spans="1:34" ht="15" x14ac:dyDescent="0.25">
      <c r="A321" s="22"/>
      <c r="B321" s="24" t="s">
        <v>0</v>
      </c>
      <c r="C321" s="24" t="s">
        <v>1</v>
      </c>
      <c r="E321" s="22"/>
      <c r="F321" s="22" t="s">
        <v>29</v>
      </c>
      <c r="G321" s="22" t="s">
        <v>30</v>
      </c>
      <c r="H321" s="22" t="s">
        <v>31</v>
      </c>
      <c r="I321" s="22" t="s">
        <v>32</v>
      </c>
      <c r="K321" s="22" t="s">
        <v>75</v>
      </c>
      <c r="L321" s="22"/>
      <c r="M321" s="22"/>
      <c r="N321" s="22"/>
      <c r="P321" s="22" t="s">
        <v>76</v>
      </c>
      <c r="Q321" s="22"/>
      <c r="R321" s="22"/>
      <c r="S321" s="22"/>
      <c r="U321" s="22" t="s">
        <v>77</v>
      </c>
      <c r="V321" s="22"/>
      <c r="W321" s="22"/>
      <c r="X321" s="22"/>
      <c r="Z321" s="22" t="s">
        <v>78</v>
      </c>
      <c r="AA321" s="22"/>
      <c r="AB321" s="22"/>
      <c r="AC321" s="22"/>
      <c r="AE321" s="22" t="s">
        <v>79</v>
      </c>
      <c r="AF321" s="22"/>
      <c r="AG321" s="22"/>
      <c r="AH321" s="22"/>
    </row>
    <row r="322" spans="1:34" ht="15" x14ac:dyDescent="0.25">
      <c r="A322" s="24" t="s">
        <v>61</v>
      </c>
      <c r="B322" s="22">
        <v>80</v>
      </c>
      <c r="C322" s="22">
        <v>30</v>
      </c>
      <c r="E322" s="22"/>
      <c r="F322" s="22">
        <v>0</v>
      </c>
      <c r="G322" s="22">
        <v>1</v>
      </c>
      <c r="H322" s="22">
        <v>2</v>
      </c>
      <c r="I322" s="22">
        <v>3</v>
      </c>
      <c r="K322" s="22">
        <v>12</v>
      </c>
      <c r="L322" s="22">
        <v>0</v>
      </c>
      <c r="M322" s="22">
        <v>0</v>
      </c>
      <c r="N322" s="22">
        <v>0</v>
      </c>
      <c r="P322" s="22">
        <v>3</v>
      </c>
      <c r="Q322" s="22">
        <v>7</v>
      </c>
      <c r="R322" s="22">
        <v>2</v>
      </c>
      <c r="S322" s="22">
        <v>0</v>
      </c>
      <c r="U322" s="22">
        <v>1</v>
      </c>
      <c r="V322" s="22">
        <v>4</v>
      </c>
      <c r="W322" s="22">
        <v>1</v>
      </c>
      <c r="X322" s="22">
        <v>0</v>
      </c>
      <c r="Z322" s="22">
        <v>2</v>
      </c>
      <c r="AA322" s="22">
        <v>8</v>
      </c>
      <c r="AB322" s="22">
        <v>2</v>
      </c>
      <c r="AC322" s="22">
        <v>0</v>
      </c>
      <c r="AE322" s="22">
        <v>2</v>
      </c>
      <c r="AF322" s="22">
        <v>7</v>
      </c>
      <c r="AG322" s="22">
        <v>3</v>
      </c>
      <c r="AH322" s="22">
        <v>0</v>
      </c>
    </row>
    <row r="323" spans="1:34" ht="15" x14ac:dyDescent="0.25">
      <c r="A323" s="24" t="s">
        <v>62</v>
      </c>
      <c r="B323" s="22">
        <v>50</v>
      </c>
      <c r="C323" s="22">
        <v>40</v>
      </c>
      <c r="E323" s="22">
        <v>0</v>
      </c>
      <c r="F323" s="22">
        <v>1</v>
      </c>
      <c r="G323" s="22">
        <f>POWER($E323,G$322)</f>
        <v>0</v>
      </c>
      <c r="H323" s="22">
        <f t="shared" ref="H323:I333" si="60">POWER($E323,H$322)</f>
        <v>0</v>
      </c>
      <c r="I323" s="22">
        <f t="shared" si="60"/>
        <v>0</v>
      </c>
      <c r="K323" s="22">
        <v>-36</v>
      </c>
      <c r="L323" s="22">
        <v>36</v>
      </c>
      <c r="M323" s="22">
        <v>0</v>
      </c>
      <c r="N323" s="22">
        <v>0</v>
      </c>
      <c r="P323" s="22">
        <v>-9</v>
      </c>
      <c r="Q323" s="22">
        <v>3</v>
      </c>
      <c r="R323" s="22">
        <v>6</v>
      </c>
      <c r="S323" s="22">
        <v>0</v>
      </c>
      <c r="U323" s="22">
        <v>-3</v>
      </c>
      <c r="V323" s="22">
        <v>0</v>
      </c>
      <c r="W323" s="22">
        <v>3</v>
      </c>
      <c r="X323" s="22">
        <v>0</v>
      </c>
      <c r="Z323" s="22">
        <v>-6</v>
      </c>
      <c r="AA323" s="22">
        <v>0</v>
      </c>
      <c r="AB323" s="22">
        <v>6</v>
      </c>
      <c r="AC323" s="22">
        <v>0</v>
      </c>
      <c r="AE323" s="22">
        <v>-6</v>
      </c>
      <c r="AF323" s="22">
        <v>-3</v>
      </c>
      <c r="AG323" s="22">
        <v>9</v>
      </c>
      <c r="AH323" s="22">
        <v>0</v>
      </c>
    </row>
    <row r="324" spans="1:34" ht="15" x14ac:dyDescent="0.25">
      <c r="A324" s="24" t="s">
        <v>63</v>
      </c>
      <c r="B324" s="22">
        <v>10</v>
      </c>
      <c r="C324" s="22">
        <v>20</v>
      </c>
      <c r="E324" s="22">
        <v>0.1</v>
      </c>
      <c r="F324" s="22">
        <v>1</v>
      </c>
      <c r="G324" s="22">
        <f>POWER($E324,G$322)</f>
        <v>0.1</v>
      </c>
      <c r="H324" s="22">
        <f t="shared" si="60"/>
        <v>1.0000000000000002E-2</v>
      </c>
      <c r="I324" s="22">
        <f t="shared" si="60"/>
        <v>1.0000000000000002E-3</v>
      </c>
      <c r="K324" s="22">
        <v>36</v>
      </c>
      <c r="L324" s="22">
        <v>-54</v>
      </c>
      <c r="M324" s="22">
        <v>18</v>
      </c>
      <c r="N324" s="22">
        <v>0</v>
      </c>
      <c r="P324" s="22">
        <v>9</v>
      </c>
      <c r="Q324" s="22">
        <v>-15</v>
      </c>
      <c r="R324" s="22">
        <v>6</v>
      </c>
      <c r="S324" s="22">
        <v>0</v>
      </c>
      <c r="U324" s="22">
        <v>3</v>
      </c>
      <c r="V324" s="22">
        <v>-6</v>
      </c>
      <c r="W324" s="22">
        <v>3</v>
      </c>
      <c r="X324" s="22">
        <v>0</v>
      </c>
      <c r="Z324" s="22">
        <v>6</v>
      </c>
      <c r="AA324" s="22">
        <v>-12</v>
      </c>
      <c r="AB324" s="22">
        <v>6</v>
      </c>
      <c r="AC324" s="22">
        <v>0</v>
      </c>
      <c r="AE324" s="22">
        <v>6</v>
      </c>
      <c r="AF324" s="22">
        <v>-15</v>
      </c>
      <c r="AG324" s="22">
        <v>9</v>
      </c>
      <c r="AH324" s="22">
        <v>0</v>
      </c>
    </row>
    <row r="325" spans="1:34" ht="15" x14ac:dyDescent="0.25">
      <c r="A325" s="24" t="s">
        <v>64</v>
      </c>
      <c r="B325" s="22">
        <v>50</v>
      </c>
      <c r="C325" s="22">
        <v>10</v>
      </c>
      <c r="E325" s="22">
        <v>0.2</v>
      </c>
      <c r="F325" s="22">
        <v>1</v>
      </c>
      <c r="G325" s="22">
        <f t="shared" ref="G325:G333" si="61">POWER($E325,G$322)</f>
        <v>0.2</v>
      </c>
      <c r="H325" s="22">
        <f t="shared" si="60"/>
        <v>4.0000000000000008E-2</v>
      </c>
      <c r="I325" s="22">
        <f t="shared" si="60"/>
        <v>8.0000000000000019E-3</v>
      </c>
      <c r="K325" s="22">
        <v>-12</v>
      </c>
      <c r="L325" s="22">
        <v>21</v>
      </c>
      <c r="M325" s="22">
        <v>-11</v>
      </c>
      <c r="N325" s="22">
        <v>2</v>
      </c>
      <c r="P325" s="22">
        <v>-3</v>
      </c>
      <c r="Q325" s="22">
        <v>7</v>
      </c>
      <c r="R325" s="22">
        <v>-6</v>
      </c>
      <c r="S325" s="22">
        <v>2</v>
      </c>
      <c r="U325" s="22">
        <v>-1</v>
      </c>
      <c r="V325" s="22">
        <v>3</v>
      </c>
      <c r="W325" s="22">
        <v>-3</v>
      </c>
      <c r="X325" s="22">
        <v>1</v>
      </c>
      <c r="Z325" s="22">
        <v>-2</v>
      </c>
      <c r="AA325" s="22">
        <v>6</v>
      </c>
      <c r="AB325" s="22">
        <v>-7</v>
      </c>
      <c r="AC325" s="22">
        <v>3</v>
      </c>
      <c r="AE325" s="22">
        <v>-2</v>
      </c>
      <c r="AF325" s="22">
        <v>11</v>
      </c>
      <c r="AG325" s="22">
        <v>-21</v>
      </c>
      <c r="AH325" s="22">
        <v>12</v>
      </c>
    </row>
    <row r="326" spans="1:34" ht="15" x14ac:dyDescent="0.25">
      <c r="A326" s="24" t="s">
        <v>65</v>
      </c>
      <c r="B326" s="22">
        <v>80</v>
      </c>
      <c r="C326" s="22">
        <v>30</v>
      </c>
      <c r="E326" s="22">
        <v>0.3</v>
      </c>
      <c r="F326" s="22">
        <v>1</v>
      </c>
      <c r="G326" s="22">
        <f t="shared" si="61"/>
        <v>0.3</v>
      </c>
      <c r="H326" s="22">
        <f t="shared" si="60"/>
        <v>0.09</v>
      </c>
      <c r="I326" s="22">
        <f t="shared" si="60"/>
        <v>2.7E-2</v>
      </c>
    </row>
    <row r="327" spans="1:34" ht="15" x14ac:dyDescent="0.25">
      <c r="A327" s="24" t="s">
        <v>66</v>
      </c>
      <c r="B327" s="22">
        <v>100</v>
      </c>
      <c r="C327" s="22">
        <v>50</v>
      </c>
      <c r="E327" s="22">
        <v>0.4</v>
      </c>
      <c r="F327" s="22">
        <v>1</v>
      </c>
      <c r="G327" s="22">
        <f t="shared" si="61"/>
        <v>0.4</v>
      </c>
      <c r="H327" s="22">
        <f t="shared" si="60"/>
        <v>0.16000000000000003</v>
      </c>
      <c r="I327" s="22">
        <f t="shared" si="60"/>
        <v>6.4000000000000015E-2</v>
      </c>
      <c r="K327" s="22">
        <f>1/12</f>
        <v>8.3333333333333329E-2</v>
      </c>
      <c r="P327" s="22">
        <f>1/12</f>
        <v>8.3333333333333329E-2</v>
      </c>
      <c r="U327" s="22">
        <f>1/6</f>
        <v>0.16666666666666666</v>
      </c>
      <c r="Z327" s="22">
        <f>1/12</f>
        <v>8.3333333333333329E-2</v>
      </c>
      <c r="AE327" s="22">
        <f>1/12</f>
        <v>8.3333333333333329E-2</v>
      </c>
    </row>
    <row r="328" spans="1:34" ht="15" x14ac:dyDescent="0.25">
      <c r="A328" s="24" t="s">
        <v>67</v>
      </c>
      <c r="B328" s="22">
        <v>80</v>
      </c>
      <c r="C328" s="22">
        <v>50</v>
      </c>
      <c r="E328" s="22">
        <v>0.5</v>
      </c>
      <c r="F328" s="22">
        <v>1</v>
      </c>
      <c r="G328" s="22">
        <f t="shared" si="61"/>
        <v>0.5</v>
      </c>
      <c r="H328" s="22">
        <f t="shared" si="60"/>
        <v>0.25</v>
      </c>
      <c r="I328" s="22">
        <f t="shared" si="60"/>
        <v>0.125</v>
      </c>
    </row>
    <row r="329" spans="1:34" ht="15" x14ac:dyDescent="0.25">
      <c r="A329" s="24" t="s">
        <v>68</v>
      </c>
      <c r="B329" s="22">
        <v>50</v>
      </c>
      <c r="C329" s="22">
        <v>50</v>
      </c>
      <c r="E329" s="22">
        <v>0.6</v>
      </c>
      <c r="F329" s="22">
        <v>1</v>
      </c>
      <c r="G329" s="22">
        <f t="shared" si="61"/>
        <v>0.6</v>
      </c>
      <c r="H329" s="22">
        <f t="shared" si="60"/>
        <v>0.36</v>
      </c>
      <c r="I329" s="22">
        <f t="shared" si="60"/>
        <v>0.216</v>
      </c>
      <c r="K329" s="22" t="s">
        <v>75</v>
      </c>
      <c r="L329" s="22"/>
      <c r="M329" s="22"/>
      <c r="N329" s="22"/>
      <c r="P329" s="22" t="s">
        <v>76</v>
      </c>
      <c r="Q329" s="22"/>
      <c r="R329" s="22"/>
      <c r="S329" s="22"/>
      <c r="U329" s="22" t="s">
        <v>77</v>
      </c>
      <c r="V329" s="22"/>
      <c r="W329" s="22"/>
      <c r="X329" s="22"/>
      <c r="Z329" s="22" t="s">
        <v>78</v>
      </c>
      <c r="AA329" s="22"/>
      <c r="AB329" s="22"/>
      <c r="AC329" s="22"/>
      <c r="AE329" s="22" t="s">
        <v>79</v>
      </c>
      <c r="AF329" s="22"/>
      <c r="AG329" s="22"/>
      <c r="AH329" s="22"/>
    </row>
    <row r="330" spans="1:34" ht="15" x14ac:dyDescent="0.25">
      <c r="A330" s="24" t="s">
        <v>69</v>
      </c>
      <c r="B330" s="22">
        <v>30</v>
      </c>
      <c r="C330" s="22">
        <v>50</v>
      </c>
      <c r="E330" s="22">
        <v>0.7</v>
      </c>
      <c r="F330" s="22">
        <v>1</v>
      </c>
      <c r="G330" s="22">
        <f t="shared" si="61"/>
        <v>0.7</v>
      </c>
      <c r="H330" s="22">
        <f t="shared" si="60"/>
        <v>0.48999999999999994</v>
      </c>
      <c r="I330" s="22">
        <f t="shared" si="60"/>
        <v>0.34299999999999992</v>
      </c>
      <c r="K330" s="22">
        <f>(K322*$K$327)</f>
        <v>1</v>
      </c>
      <c r="L330" s="22">
        <f t="shared" ref="L330:N330" si="62">(L322*$K$327)</f>
        <v>0</v>
      </c>
      <c r="M330" s="22">
        <f t="shared" si="62"/>
        <v>0</v>
      </c>
      <c r="N330" s="22">
        <f t="shared" si="62"/>
        <v>0</v>
      </c>
      <c r="P330" s="22">
        <f>(P322*$P$327)</f>
        <v>0.25</v>
      </c>
      <c r="Q330" s="22">
        <f t="shared" ref="Q330:S330" si="63">(Q322*$P$327)</f>
        <v>0.58333333333333326</v>
      </c>
      <c r="R330" s="22">
        <f t="shared" si="63"/>
        <v>0.16666666666666666</v>
      </c>
      <c r="S330" s="22">
        <f t="shared" si="63"/>
        <v>0</v>
      </c>
      <c r="U330" s="22">
        <f>(U322*$U$327)</f>
        <v>0.16666666666666666</v>
      </c>
      <c r="V330" s="22">
        <f t="shared" ref="V330:X330" si="64">(V322*$U$327)</f>
        <v>0.66666666666666663</v>
      </c>
      <c r="W330" s="22">
        <f t="shared" si="64"/>
        <v>0.16666666666666666</v>
      </c>
      <c r="X330" s="22">
        <f t="shared" si="64"/>
        <v>0</v>
      </c>
      <c r="Z330" s="22">
        <f>(Z322*$Z$327)</f>
        <v>0.16666666666666666</v>
      </c>
      <c r="AA330" s="22">
        <f t="shared" ref="AA330:AC330" si="65">(AA322*$Z$327)</f>
        <v>0.66666666666666663</v>
      </c>
      <c r="AB330" s="22">
        <f t="shared" si="65"/>
        <v>0.16666666666666666</v>
      </c>
      <c r="AC330" s="22">
        <f t="shared" si="65"/>
        <v>0</v>
      </c>
      <c r="AE330" s="22">
        <f>(AE322*$AE$327)</f>
        <v>0.16666666666666666</v>
      </c>
      <c r="AF330" s="22">
        <f t="shared" ref="AF330:AH330" si="66">(AF322*$AE$327)</f>
        <v>0.58333333333333326</v>
      </c>
      <c r="AG330" s="22">
        <f t="shared" si="66"/>
        <v>0.25</v>
      </c>
      <c r="AH330" s="22">
        <f t="shared" si="66"/>
        <v>0</v>
      </c>
    </row>
    <row r="331" spans="1:34" ht="15" x14ac:dyDescent="0.25">
      <c r="A331" s="24" t="s">
        <v>70</v>
      </c>
      <c r="B331" s="22">
        <v>90</v>
      </c>
      <c r="C331" s="22">
        <v>60</v>
      </c>
      <c r="E331" s="22">
        <v>0.8</v>
      </c>
      <c r="F331" s="22">
        <v>1</v>
      </c>
      <c r="G331" s="22">
        <f t="shared" si="61"/>
        <v>0.8</v>
      </c>
      <c r="H331" s="22">
        <f t="shared" si="60"/>
        <v>0.64000000000000012</v>
      </c>
      <c r="I331" s="22">
        <f t="shared" si="60"/>
        <v>0.51200000000000012</v>
      </c>
      <c r="K331" s="22">
        <f t="shared" ref="K331:N331" si="67">(K323*$K$327)</f>
        <v>-3</v>
      </c>
      <c r="L331" s="22">
        <f t="shared" si="67"/>
        <v>3</v>
      </c>
      <c r="M331" s="22">
        <f t="shared" si="67"/>
        <v>0</v>
      </c>
      <c r="N331" s="22">
        <f t="shared" si="67"/>
        <v>0</v>
      </c>
      <c r="P331" s="22">
        <f t="shared" ref="P331:S331" si="68">(P323*$P$327)</f>
        <v>-0.75</v>
      </c>
      <c r="Q331" s="22">
        <f t="shared" si="68"/>
        <v>0.25</v>
      </c>
      <c r="R331" s="22">
        <f t="shared" si="68"/>
        <v>0.5</v>
      </c>
      <c r="S331" s="22">
        <f t="shared" si="68"/>
        <v>0</v>
      </c>
      <c r="U331" s="22">
        <f t="shared" ref="U331:X331" si="69">(U323*$U$327)</f>
        <v>-0.5</v>
      </c>
      <c r="V331" s="22">
        <f t="shared" si="69"/>
        <v>0</v>
      </c>
      <c r="W331" s="22">
        <f t="shared" si="69"/>
        <v>0.5</v>
      </c>
      <c r="X331" s="22">
        <f t="shared" si="69"/>
        <v>0</v>
      </c>
      <c r="Z331" s="22">
        <f t="shared" ref="Z331:AC331" si="70">(Z323*$Z$327)</f>
        <v>-0.5</v>
      </c>
      <c r="AA331" s="22">
        <f t="shared" si="70"/>
        <v>0</v>
      </c>
      <c r="AB331" s="22">
        <f t="shared" si="70"/>
        <v>0.5</v>
      </c>
      <c r="AC331" s="22">
        <f t="shared" si="70"/>
        <v>0</v>
      </c>
      <c r="AE331" s="22">
        <f t="shared" ref="AE331:AH331" si="71">(AE323*$AE$327)</f>
        <v>-0.5</v>
      </c>
      <c r="AF331" s="22">
        <f t="shared" si="71"/>
        <v>-0.25</v>
      </c>
      <c r="AG331" s="22">
        <f t="shared" si="71"/>
        <v>0.75</v>
      </c>
      <c r="AH331" s="22">
        <f t="shared" si="71"/>
        <v>0</v>
      </c>
    </row>
    <row r="332" spans="1:34" ht="15" x14ac:dyDescent="0.25">
      <c r="A332" s="24" t="s">
        <v>71</v>
      </c>
      <c r="B332" s="22">
        <v>90</v>
      </c>
      <c r="C332" s="22">
        <v>100</v>
      </c>
      <c r="E332" s="22">
        <v>0.9</v>
      </c>
      <c r="F332" s="22">
        <v>1</v>
      </c>
      <c r="G332" s="22">
        <f t="shared" si="61"/>
        <v>0.9</v>
      </c>
      <c r="H332" s="22">
        <f t="shared" si="60"/>
        <v>0.81</v>
      </c>
      <c r="I332" s="22">
        <f t="shared" si="60"/>
        <v>0.72900000000000009</v>
      </c>
      <c r="K332" s="22">
        <f t="shared" ref="K332:N332" si="72">(K324*$K$327)</f>
        <v>3</v>
      </c>
      <c r="L332" s="22">
        <f t="shared" si="72"/>
        <v>-4.5</v>
      </c>
      <c r="M332" s="22">
        <f t="shared" si="72"/>
        <v>1.5</v>
      </c>
      <c r="N332" s="22">
        <f t="shared" si="72"/>
        <v>0</v>
      </c>
      <c r="P332" s="22">
        <f t="shared" ref="P332:S332" si="73">(P324*$P$327)</f>
        <v>0.75</v>
      </c>
      <c r="Q332" s="22">
        <f t="shared" si="73"/>
        <v>-1.25</v>
      </c>
      <c r="R332" s="22">
        <f t="shared" si="73"/>
        <v>0.5</v>
      </c>
      <c r="S332" s="22">
        <f t="shared" si="73"/>
        <v>0</v>
      </c>
      <c r="U332" s="22">
        <f t="shared" ref="U332:X332" si="74">(U324*$U$327)</f>
        <v>0.5</v>
      </c>
      <c r="V332" s="22">
        <f t="shared" si="74"/>
        <v>-1</v>
      </c>
      <c r="W332" s="22">
        <f t="shared" si="74"/>
        <v>0.5</v>
      </c>
      <c r="X332" s="22">
        <f t="shared" si="74"/>
        <v>0</v>
      </c>
      <c r="Z332" s="22">
        <f t="shared" ref="Z332:AC332" si="75">(Z324*$Z$327)</f>
        <v>0.5</v>
      </c>
      <c r="AA332" s="22">
        <f t="shared" si="75"/>
        <v>-1</v>
      </c>
      <c r="AB332" s="22">
        <f t="shared" si="75"/>
        <v>0.5</v>
      </c>
      <c r="AC332" s="22">
        <f t="shared" si="75"/>
        <v>0</v>
      </c>
      <c r="AE332" s="22">
        <f t="shared" ref="AE332:AH332" si="76">(AE324*$AE$327)</f>
        <v>0.5</v>
      </c>
      <c r="AF332" s="22">
        <f t="shared" si="76"/>
        <v>-1.25</v>
      </c>
      <c r="AG332" s="22">
        <f t="shared" si="76"/>
        <v>0.75</v>
      </c>
      <c r="AH332" s="22">
        <f t="shared" si="76"/>
        <v>0</v>
      </c>
    </row>
    <row r="333" spans="1:34" ht="15" x14ac:dyDescent="0.25">
      <c r="A333" s="24" t="s">
        <v>72</v>
      </c>
      <c r="B333" s="22">
        <v>50</v>
      </c>
      <c r="C333" s="22">
        <v>110</v>
      </c>
      <c r="E333" s="22">
        <v>1</v>
      </c>
      <c r="F333" s="22">
        <v>1</v>
      </c>
      <c r="G333" s="22">
        <f t="shared" si="61"/>
        <v>1</v>
      </c>
      <c r="H333" s="22">
        <f t="shared" si="60"/>
        <v>1</v>
      </c>
      <c r="I333" s="22">
        <f t="shared" si="60"/>
        <v>1</v>
      </c>
      <c r="K333" s="22">
        <f t="shared" ref="K333:N333" si="77">(K325*$K$327)</f>
        <v>-1</v>
      </c>
      <c r="L333" s="22">
        <f t="shared" si="77"/>
        <v>1.75</v>
      </c>
      <c r="M333" s="22">
        <f t="shared" si="77"/>
        <v>-0.91666666666666663</v>
      </c>
      <c r="N333" s="22">
        <f t="shared" si="77"/>
        <v>0.16666666666666666</v>
      </c>
      <c r="P333" s="22">
        <f t="shared" ref="P333:S333" si="78">(P325*$P$327)</f>
        <v>-0.25</v>
      </c>
      <c r="Q333" s="22">
        <f t="shared" si="78"/>
        <v>0.58333333333333326</v>
      </c>
      <c r="R333" s="22">
        <f t="shared" si="78"/>
        <v>-0.5</v>
      </c>
      <c r="S333" s="22">
        <f t="shared" si="78"/>
        <v>0.16666666666666666</v>
      </c>
      <c r="U333" s="22">
        <f t="shared" ref="U333:X333" si="79">(U325*$U$327)</f>
        <v>-0.16666666666666666</v>
      </c>
      <c r="V333" s="22">
        <f t="shared" si="79"/>
        <v>0.5</v>
      </c>
      <c r="W333" s="22">
        <f t="shared" si="79"/>
        <v>-0.5</v>
      </c>
      <c r="X333" s="22">
        <f t="shared" si="79"/>
        <v>0.16666666666666666</v>
      </c>
      <c r="Z333" s="22">
        <f t="shared" ref="Z333:AC333" si="80">(Z325*$Z$327)</f>
        <v>-0.16666666666666666</v>
      </c>
      <c r="AA333" s="22">
        <f t="shared" si="80"/>
        <v>0.5</v>
      </c>
      <c r="AB333" s="22">
        <f t="shared" si="80"/>
        <v>-0.58333333333333326</v>
      </c>
      <c r="AC333" s="22">
        <f t="shared" si="80"/>
        <v>0.25</v>
      </c>
      <c r="AE333" s="22">
        <f t="shared" ref="AE333:AH333" si="81">(AE325*$AE$327)</f>
        <v>-0.16666666666666666</v>
      </c>
      <c r="AF333" s="22">
        <f t="shared" si="81"/>
        <v>0.91666666666666663</v>
      </c>
      <c r="AG333" s="22">
        <f t="shared" si="81"/>
        <v>-1.75</v>
      </c>
      <c r="AH333" s="22">
        <f t="shared" si="81"/>
        <v>1</v>
      </c>
    </row>
    <row r="334" spans="1:34" ht="15" x14ac:dyDescent="0.25">
      <c r="A334" s="24" t="s">
        <v>73</v>
      </c>
      <c r="B334" s="22">
        <v>20</v>
      </c>
      <c r="C334" s="22">
        <v>85</v>
      </c>
    </row>
    <row r="335" spans="1:34" ht="15" x14ac:dyDescent="0.25">
      <c r="A335" s="24" t="s">
        <v>74</v>
      </c>
      <c r="B335" s="22">
        <v>20</v>
      </c>
      <c r="C335" s="22">
        <v>60</v>
      </c>
    </row>
    <row r="339" spans="1:4" x14ac:dyDescent="0.2">
      <c r="A339" s="23"/>
    </row>
    <row r="341" spans="1:4" ht="15" x14ac:dyDescent="0.25">
      <c r="A341" s="22" t="s">
        <v>47</v>
      </c>
      <c r="B341" s="22"/>
      <c r="C341" s="22"/>
      <c r="D341" s="22"/>
    </row>
    <row r="342" spans="1:4" ht="15" x14ac:dyDescent="0.25">
      <c r="A342" s="22" t="s">
        <v>48</v>
      </c>
      <c r="B342" s="22"/>
      <c r="C342" s="22"/>
      <c r="D342" s="22"/>
    </row>
    <row r="343" spans="1:4" ht="15" x14ac:dyDescent="0.25">
      <c r="A343" s="22"/>
      <c r="B343" s="22" t="s">
        <v>50</v>
      </c>
      <c r="C343" s="22" t="s">
        <v>0</v>
      </c>
      <c r="D343" s="22" t="s">
        <v>1</v>
      </c>
    </row>
    <row r="344" spans="1:4" ht="15" x14ac:dyDescent="0.25">
      <c r="A344" s="22" t="s">
        <v>49</v>
      </c>
      <c r="B344" s="22">
        <v>0</v>
      </c>
      <c r="C344" s="22">
        <f t="array" ref="C344:D354">(MMULT(MMULT(F323:I333,K330:N333), B322:C325))</f>
        <v>80</v>
      </c>
      <c r="D344" s="22">
        <v>30</v>
      </c>
    </row>
    <row r="345" spans="1:4" ht="15" x14ac:dyDescent="0.25">
      <c r="A345" s="22"/>
      <c r="B345" s="22">
        <v>0.1</v>
      </c>
      <c r="C345" s="22">
        <v>71.306666666666672</v>
      </c>
      <c r="D345" s="22">
        <v>32.423333333333332</v>
      </c>
    </row>
    <row r="346" spans="1:4" ht="15" x14ac:dyDescent="0.25">
      <c r="A346" s="22"/>
      <c r="B346" s="22">
        <v>0.2</v>
      </c>
      <c r="C346" s="22">
        <v>63.25333333333333</v>
      </c>
      <c r="D346" s="22">
        <v>33.786666666666669</v>
      </c>
    </row>
    <row r="347" spans="1:4" ht="15" x14ac:dyDescent="0.25">
      <c r="A347" s="22"/>
      <c r="B347" s="22">
        <v>0.3</v>
      </c>
      <c r="C347" s="22">
        <v>55.879999999999995</v>
      </c>
      <c r="D347" s="22">
        <v>34.230000000000004</v>
      </c>
    </row>
    <row r="348" spans="1:4" ht="15" x14ac:dyDescent="0.25">
      <c r="A348" s="22"/>
      <c r="B348" s="22">
        <v>0.4</v>
      </c>
      <c r="C348" s="22">
        <v>49.226666666666659</v>
      </c>
      <c r="D348" s="22">
        <v>33.893333333333331</v>
      </c>
    </row>
    <row r="349" spans="1:4" ht="15" x14ac:dyDescent="0.25">
      <c r="A349" s="22"/>
      <c r="B349" s="22">
        <v>0.5</v>
      </c>
      <c r="C349" s="22">
        <v>43.333333333333329</v>
      </c>
      <c r="D349" s="22">
        <v>32.916666666666671</v>
      </c>
    </row>
    <row r="350" spans="1:4" ht="15" x14ac:dyDescent="0.25">
      <c r="A350" s="22"/>
      <c r="B350" s="22">
        <v>0.6</v>
      </c>
      <c r="C350" s="22">
        <v>38.240000000000016</v>
      </c>
      <c r="D350" s="22">
        <v>31.440000000000005</v>
      </c>
    </row>
    <row r="351" spans="1:4" ht="15" x14ac:dyDescent="0.25">
      <c r="A351" s="22"/>
      <c r="B351" s="22">
        <v>0.7</v>
      </c>
      <c r="C351" s="22">
        <v>33.986666666666672</v>
      </c>
      <c r="D351" s="22">
        <v>29.603333333333332</v>
      </c>
    </row>
    <row r="352" spans="1:4" ht="15" x14ac:dyDescent="0.25">
      <c r="A352" s="22"/>
      <c r="B352" s="22">
        <v>0.8</v>
      </c>
      <c r="C352" s="22">
        <v>30.613333333333316</v>
      </c>
      <c r="D352" s="22">
        <v>27.54666666666666</v>
      </c>
    </row>
    <row r="353" spans="1:4" ht="15" x14ac:dyDescent="0.25">
      <c r="A353" s="22"/>
      <c r="B353" s="22">
        <v>0.9</v>
      </c>
      <c r="C353" s="22">
        <v>28.159999999999986</v>
      </c>
      <c r="D353" s="22">
        <v>25.409999999999993</v>
      </c>
    </row>
    <row r="354" spans="1:4" ht="15" x14ac:dyDescent="0.25">
      <c r="A354" s="22"/>
      <c r="B354" s="22">
        <v>1</v>
      </c>
      <c r="C354" s="22">
        <v>26.666666666666668</v>
      </c>
      <c r="D354" s="22">
        <v>23.333333333333336</v>
      </c>
    </row>
    <row r="355" spans="1:4" ht="15" x14ac:dyDescent="0.25">
      <c r="A355" s="22" t="s">
        <v>51</v>
      </c>
      <c r="B355" s="22">
        <v>0</v>
      </c>
      <c r="C355" s="22">
        <f t="array" ref="C355:D365">(MMULT(MMULT(F323:I333,P330:S333), B323:C326))</f>
        <v>26.666666666666664</v>
      </c>
      <c r="D355" s="22">
        <v>23.333333333333332</v>
      </c>
    </row>
    <row r="356" spans="1:4" ht="15" x14ac:dyDescent="0.25">
      <c r="A356" s="22"/>
      <c r="B356" s="22">
        <v>0.1</v>
      </c>
      <c r="C356" s="22">
        <v>26.14833333333333</v>
      </c>
      <c r="D356" s="22">
        <v>21.434999999999999</v>
      </c>
    </row>
    <row r="357" spans="1:4" ht="15" x14ac:dyDescent="0.25">
      <c r="A357" s="22"/>
      <c r="B357" s="22">
        <v>0.2</v>
      </c>
      <c r="C357" s="22">
        <v>26.52</v>
      </c>
      <c r="D357" s="22">
        <v>19.746666666666666</v>
      </c>
    </row>
    <row r="358" spans="1:4" ht="15" x14ac:dyDescent="0.25">
      <c r="A358" s="22"/>
      <c r="B358" s="22">
        <v>0.3</v>
      </c>
      <c r="C358" s="22">
        <v>27.671666666666663</v>
      </c>
      <c r="D358" s="22">
        <v>18.278333333333332</v>
      </c>
    </row>
    <row r="359" spans="1:4" ht="15" x14ac:dyDescent="0.25">
      <c r="A359" s="22"/>
      <c r="B359" s="22">
        <v>0.4</v>
      </c>
      <c r="C359" s="22">
        <v>29.493333333333332</v>
      </c>
      <c r="D359" s="22">
        <v>17.04</v>
      </c>
    </row>
    <row r="360" spans="1:4" ht="15" x14ac:dyDescent="0.25">
      <c r="A360" s="22"/>
      <c r="B360" s="22">
        <v>0.5</v>
      </c>
      <c r="C360" s="22">
        <v>31.875</v>
      </c>
      <c r="D360" s="22">
        <v>16.041666666666664</v>
      </c>
    </row>
    <row r="361" spans="1:4" ht="15" x14ac:dyDescent="0.25">
      <c r="A361" s="22"/>
      <c r="B361" s="22">
        <v>0.6</v>
      </c>
      <c r="C361" s="22">
        <v>34.706666666666678</v>
      </c>
      <c r="D361" s="22">
        <v>15.293333333333338</v>
      </c>
    </row>
    <row r="362" spans="1:4" ht="15" x14ac:dyDescent="0.25">
      <c r="A362" s="22"/>
      <c r="B362" s="22">
        <v>0.7</v>
      </c>
      <c r="C362" s="22">
        <v>37.87833333333333</v>
      </c>
      <c r="D362" s="22">
        <v>14.805000000000001</v>
      </c>
    </row>
    <row r="363" spans="1:4" ht="15" x14ac:dyDescent="0.25">
      <c r="A363" s="22"/>
      <c r="B363" s="22">
        <v>0.8</v>
      </c>
      <c r="C363" s="22">
        <v>41.28</v>
      </c>
      <c r="D363" s="22">
        <v>14.586666666666661</v>
      </c>
    </row>
    <row r="364" spans="1:4" ht="15" x14ac:dyDescent="0.25">
      <c r="A364" s="22"/>
      <c r="B364" s="22">
        <v>0.9</v>
      </c>
      <c r="C364" s="22">
        <v>44.801666666666662</v>
      </c>
      <c r="D364" s="22">
        <v>14.648333333333326</v>
      </c>
    </row>
    <row r="365" spans="1:4" ht="15" x14ac:dyDescent="0.25">
      <c r="A365" s="22"/>
      <c r="B365" s="22">
        <v>1</v>
      </c>
      <c r="C365" s="22">
        <v>48.333333333333329</v>
      </c>
      <c r="D365" s="22">
        <v>14.999999999999996</v>
      </c>
    </row>
    <row r="366" spans="1:4" ht="15" x14ac:dyDescent="0.25">
      <c r="A366" s="22" t="s">
        <v>52</v>
      </c>
      <c r="B366" s="22">
        <v>0</v>
      </c>
      <c r="C366" s="22">
        <f t="array" ref="C366:D376">(MMULT(MMULT(F323:I333,U330:X333), B324:C327))</f>
        <v>48.333333333333329</v>
      </c>
      <c r="D366" s="22">
        <v>15</v>
      </c>
    </row>
    <row r="367" spans="1:4" ht="15" x14ac:dyDescent="0.25">
      <c r="A367" s="22"/>
      <c r="B367" s="22">
        <v>0.1</v>
      </c>
      <c r="C367" s="22">
        <v>51.783333333333324</v>
      </c>
      <c r="D367" s="22">
        <v>15.645</v>
      </c>
    </row>
    <row r="368" spans="1:4" ht="15" x14ac:dyDescent="0.25">
      <c r="A368" s="22"/>
      <c r="B368" s="22">
        <v>0.2</v>
      </c>
      <c r="C368" s="22">
        <v>55.133333333333333</v>
      </c>
      <c r="D368" s="22">
        <v>16.559999999999999</v>
      </c>
    </row>
    <row r="369" spans="1:4" ht="15" x14ac:dyDescent="0.25">
      <c r="A369" s="22"/>
      <c r="B369" s="22">
        <v>0.3</v>
      </c>
      <c r="C369" s="22">
        <v>58.383333333333326</v>
      </c>
      <c r="D369" s="22">
        <v>17.715</v>
      </c>
    </row>
    <row r="370" spans="1:4" ht="15" x14ac:dyDescent="0.25">
      <c r="A370" s="22"/>
      <c r="B370" s="22">
        <v>0.4</v>
      </c>
      <c r="C370" s="22">
        <v>61.533333333333331</v>
      </c>
      <c r="D370" s="22">
        <v>19.080000000000002</v>
      </c>
    </row>
    <row r="371" spans="1:4" ht="15" x14ac:dyDescent="0.25">
      <c r="A371" s="22"/>
      <c r="B371" s="22">
        <v>0.5</v>
      </c>
      <c r="C371" s="22">
        <v>64.583333333333329</v>
      </c>
      <c r="D371" s="22">
        <v>20.624999999999996</v>
      </c>
    </row>
    <row r="372" spans="1:4" ht="15" x14ac:dyDescent="0.25">
      <c r="A372" s="22"/>
      <c r="B372" s="22">
        <v>0.6</v>
      </c>
      <c r="C372" s="22">
        <v>67.533333333333331</v>
      </c>
      <c r="D372" s="22">
        <v>22.320000000000004</v>
      </c>
    </row>
    <row r="373" spans="1:4" ht="15" x14ac:dyDescent="0.25">
      <c r="A373" s="22"/>
      <c r="B373" s="22">
        <v>0.7</v>
      </c>
      <c r="C373" s="22">
        <v>70.383333333333326</v>
      </c>
      <c r="D373" s="22">
        <v>24.134999999999998</v>
      </c>
    </row>
    <row r="374" spans="1:4" ht="15" x14ac:dyDescent="0.25">
      <c r="A374" s="22"/>
      <c r="B374" s="22">
        <v>0.8</v>
      </c>
      <c r="C374" s="22">
        <v>73.133333333333326</v>
      </c>
      <c r="D374" s="22">
        <v>26.04</v>
      </c>
    </row>
    <row r="375" spans="1:4" ht="15" x14ac:dyDescent="0.25">
      <c r="A375" s="22"/>
      <c r="B375" s="22">
        <v>0.9</v>
      </c>
      <c r="C375" s="22">
        <v>75.783333333333346</v>
      </c>
      <c r="D375" s="22">
        <v>28.004999999999999</v>
      </c>
    </row>
    <row r="376" spans="1:4" ht="15" x14ac:dyDescent="0.25">
      <c r="A376" s="22"/>
      <c r="B376" s="22">
        <v>1</v>
      </c>
      <c r="C376" s="22">
        <v>78.333333333333314</v>
      </c>
      <c r="D376" s="22">
        <v>29.999999999999993</v>
      </c>
    </row>
    <row r="377" spans="1:4" ht="15" x14ac:dyDescent="0.25">
      <c r="A377" s="22" t="s">
        <v>53</v>
      </c>
      <c r="B377" s="22">
        <v>0</v>
      </c>
      <c r="C377" s="22">
        <f t="array" ref="C377:D387">(MMULT(MMULT(F323:I333,U330:X333), B325:C328))</f>
        <v>78.333333333333314</v>
      </c>
      <c r="D377" s="22">
        <v>30</v>
      </c>
    </row>
    <row r="378" spans="1:4" ht="15" x14ac:dyDescent="0.25">
      <c r="A378" s="22"/>
      <c r="B378" s="22">
        <v>0.1</v>
      </c>
      <c r="C378" s="22">
        <v>80.778333333333322</v>
      </c>
      <c r="D378" s="22">
        <v>31.996666666666663</v>
      </c>
    </row>
    <row r="379" spans="1:4" ht="15" x14ac:dyDescent="0.25">
      <c r="A379" s="22"/>
      <c r="B379" s="22">
        <v>0.2</v>
      </c>
      <c r="C379" s="22">
        <v>83.093333333333334</v>
      </c>
      <c r="D379" s="22">
        <v>33.973333333333336</v>
      </c>
    </row>
    <row r="380" spans="1:4" ht="15" x14ac:dyDescent="0.25">
      <c r="A380" s="22"/>
      <c r="B380" s="22">
        <v>0.3</v>
      </c>
      <c r="C380" s="22">
        <v>85.248333333333321</v>
      </c>
      <c r="D380" s="22">
        <v>35.909999999999997</v>
      </c>
    </row>
    <row r="381" spans="1:4" ht="15" x14ac:dyDescent="0.25">
      <c r="A381" s="22"/>
      <c r="B381" s="22">
        <v>0.4</v>
      </c>
      <c r="C381" s="22">
        <v>87.213333333333338</v>
      </c>
      <c r="D381" s="22">
        <v>37.786666666666662</v>
      </c>
    </row>
    <row r="382" spans="1:4" ht="15" x14ac:dyDescent="0.25">
      <c r="A382" s="22"/>
      <c r="B382" s="22">
        <v>0.5</v>
      </c>
      <c r="C382" s="22">
        <v>88.958333333333329</v>
      </c>
      <c r="D382" s="22">
        <v>39.583333333333329</v>
      </c>
    </row>
    <row r="383" spans="1:4" ht="15" x14ac:dyDescent="0.25">
      <c r="A383" s="22"/>
      <c r="B383" s="22">
        <v>0.6</v>
      </c>
      <c r="C383" s="22">
        <v>90.453333333333333</v>
      </c>
      <c r="D383" s="22">
        <v>41.28</v>
      </c>
    </row>
    <row r="384" spans="1:4" ht="15" x14ac:dyDescent="0.25">
      <c r="A384" s="22"/>
      <c r="B384" s="22">
        <v>0.7</v>
      </c>
      <c r="C384" s="22">
        <v>91.668333333333337</v>
      </c>
      <c r="D384" s="22">
        <v>42.856666666666662</v>
      </c>
    </row>
    <row r="385" spans="1:4" ht="15" x14ac:dyDescent="0.25">
      <c r="A385" s="22"/>
      <c r="B385" s="22">
        <v>0.8</v>
      </c>
      <c r="C385" s="22">
        <v>92.573333333333338</v>
      </c>
      <c r="D385" s="22">
        <v>44.293333333333329</v>
      </c>
    </row>
    <row r="386" spans="1:4" ht="15" x14ac:dyDescent="0.25">
      <c r="A386" s="22"/>
      <c r="B386" s="22">
        <v>0.9</v>
      </c>
      <c r="C386" s="22">
        <v>93.138333333333321</v>
      </c>
      <c r="D386" s="22">
        <v>45.57</v>
      </c>
    </row>
    <row r="387" spans="1:4" ht="15" x14ac:dyDescent="0.25">
      <c r="A387" s="22"/>
      <c r="B387" s="22">
        <v>1</v>
      </c>
      <c r="C387" s="22">
        <v>93.333333333333314</v>
      </c>
      <c r="D387" s="22">
        <v>46.666666666666657</v>
      </c>
    </row>
    <row r="388" spans="1:4" ht="15" x14ac:dyDescent="0.25">
      <c r="A388" s="22" t="s">
        <v>54</v>
      </c>
      <c r="B388" s="22">
        <v>0</v>
      </c>
      <c r="C388" s="22">
        <f t="array" ref="C388:D398">(MMULT(MMULT(F323:I333,U330:X333), B326:C329))</f>
        <v>93.333333333333314</v>
      </c>
      <c r="D388" s="22">
        <v>46.666666666666657</v>
      </c>
    </row>
    <row r="389" spans="1:4" ht="15" x14ac:dyDescent="0.25">
      <c r="A389" s="22"/>
      <c r="B389" s="22">
        <v>0.1</v>
      </c>
      <c r="C389" s="22">
        <v>93.138333333333335</v>
      </c>
      <c r="D389" s="22">
        <v>47.57</v>
      </c>
    </row>
    <row r="390" spans="1:4" ht="15" x14ac:dyDescent="0.25">
      <c r="A390" s="22"/>
      <c r="B390" s="22">
        <v>0.2</v>
      </c>
      <c r="C390" s="22">
        <v>92.573333333333323</v>
      </c>
      <c r="D390" s="22">
        <v>48.293333333333337</v>
      </c>
    </row>
    <row r="391" spans="1:4" ht="15" x14ac:dyDescent="0.25">
      <c r="A391" s="22"/>
      <c r="B391" s="22">
        <v>0.3</v>
      </c>
      <c r="C391" s="22">
        <v>91.668333333333322</v>
      </c>
      <c r="D391" s="22">
        <v>48.856666666666662</v>
      </c>
    </row>
    <row r="392" spans="1:4" ht="15" x14ac:dyDescent="0.25">
      <c r="A392" s="22"/>
      <c r="B392" s="22">
        <v>0.4</v>
      </c>
      <c r="C392" s="22">
        <v>90.453333333333319</v>
      </c>
      <c r="D392" s="22">
        <v>49.279999999999994</v>
      </c>
    </row>
    <row r="393" spans="1:4" ht="15" x14ac:dyDescent="0.25">
      <c r="A393" s="22"/>
      <c r="B393" s="22">
        <v>0.5</v>
      </c>
      <c r="C393" s="22">
        <v>88.958333333333329</v>
      </c>
      <c r="D393" s="22">
        <v>49.583333333333329</v>
      </c>
    </row>
    <row r="394" spans="1:4" ht="15" x14ac:dyDescent="0.25">
      <c r="A394" s="22"/>
      <c r="B394" s="22">
        <v>0.6</v>
      </c>
      <c r="C394" s="22">
        <v>87.213333333333324</v>
      </c>
      <c r="D394" s="22">
        <v>49.786666666666662</v>
      </c>
    </row>
    <row r="395" spans="1:4" ht="15" x14ac:dyDescent="0.25">
      <c r="A395" s="22"/>
      <c r="B395" s="22">
        <v>0.7</v>
      </c>
      <c r="C395" s="22">
        <v>85.248333333333321</v>
      </c>
      <c r="D395" s="22">
        <v>49.91</v>
      </c>
    </row>
    <row r="396" spans="1:4" ht="15" x14ac:dyDescent="0.25">
      <c r="A396" s="22"/>
      <c r="B396" s="22">
        <v>0.8</v>
      </c>
      <c r="C396" s="22">
        <v>83.09333333333332</v>
      </c>
      <c r="D396" s="22">
        <v>49.973333333333329</v>
      </c>
    </row>
    <row r="397" spans="1:4" ht="15" x14ac:dyDescent="0.25">
      <c r="A397" s="22"/>
      <c r="B397" s="22">
        <v>0.9</v>
      </c>
      <c r="C397" s="22">
        <v>80.778333333333336</v>
      </c>
      <c r="D397" s="22">
        <v>49.99666666666667</v>
      </c>
    </row>
    <row r="398" spans="1:4" ht="15" x14ac:dyDescent="0.25">
      <c r="A398" s="22"/>
      <c r="B398" s="22">
        <v>1</v>
      </c>
      <c r="C398" s="22">
        <v>78.333333333333314</v>
      </c>
      <c r="D398" s="22">
        <v>49.999999999999986</v>
      </c>
    </row>
    <row r="399" spans="1:4" ht="15" x14ac:dyDescent="0.25">
      <c r="A399" s="22" t="s">
        <v>55</v>
      </c>
      <c r="B399" s="22">
        <v>0</v>
      </c>
      <c r="C399" s="22">
        <f t="array" ref="C399:D409">(MMULT(MMULT(F323:I333,U330:X333),B327:C330))</f>
        <v>78.333333333333329</v>
      </c>
      <c r="D399" s="22">
        <v>49.999999999999986</v>
      </c>
    </row>
    <row r="400" spans="1:4" ht="15" x14ac:dyDescent="0.25">
      <c r="A400" s="22"/>
      <c r="B400" s="22">
        <v>0.1</v>
      </c>
      <c r="C400" s="22">
        <v>75.786666666666662</v>
      </c>
      <c r="D400" s="22">
        <v>49.999999999999993</v>
      </c>
    </row>
    <row r="401" spans="1:4" ht="15" x14ac:dyDescent="0.25">
      <c r="A401" s="22"/>
      <c r="B401" s="22">
        <v>0.2</v>
      </c>
      <c r="C401" s="22">
        <v>73.16</v>
      </c>
      <c r="D401" s="22">
        <v>50</v>
      </c>
    </row>
    <row r="402" spans="1:4" ht="15" x14ac:dyDescent="0.25">
      <c r="A402" s="22"/>
      <c r="B402" s="22">
        <v>0.3</v>
      </c>
      <c r="C402" s="22">
        <v>70.473333333333343</v>
      </c>
      <c r="D402" s="22">
        <v>49.999999999999993</v>
      </c>
    </row>
    <row r="403" spans="1:4" ht="15" x14ac:dyDescent="0.25">
      <c r="A403" s="22"/>
      <c r="B403" s="22">
        <v>0.4</v>
      </c>
      <c r="C403" s="22">
        <v>67.74666666666667</v>
      </c>
      <c r="D403" s="22">
        <v>50</v>
      </c>
    </row>
    <row r="404" spans="1:4" ht="15" x14ac:dyDescent="0.25">
      <c r="A404" s="22"/>
      <c r="B404" s="22">
        <v>0.5</v>
      </c>
      <c r="C404" s="22">
        <v>65</v>
      </c>
      <c r="D404" s="22">
        <v>49.999999999999993</v>
      </c>
    </row>
    <row r="405" spans="1:4" ht="15" x14ac:dyDescent="0.25">
      <c r="A405" s="22"/>
      <c r="B405" s="22">
        <v>0.6</v>
      </c>
      <c r="C405" s="22">
        <v>62.25333333333333</v>
      </c>
      <c r="D405" s="22">
        <v>50</v>
      </c>
    </row>
    <row r="406" spans="1:4" ht="15" x14ac:dyDescent="0.25">
      <c r="A406" s="22"/>
      <c r="B406" s="22">
        <v>0.7</v>
      </c>
      <c r="C406" s="22">
        <v>59.526666666666657</v>
      </c>
      <c r="D406" s="22">
        <v>50</v>
      </c>
    </row>
    <row r="407" spans="1:4" ht="15" x14ac:dyDescent="0.25">
      <c r="A407" s="22"/>
      <c r="B407" s="22">
        <v>0.8</v>
      </c>
      <c r="C407" s="22">
        <v>56.84</v>
      </c>
      <c r="D407" s="22">
        <v>50</v>
      </c>
    </row>
    <row r="408" spans="1:4" ht="15" x14ac:dyDescent="0.25">
      <c r="A408" s="22"/>
      <c r="B408" s="22">
        <v>0.9</v>
      </c>
      <c r="C408" s="22">
        <v>54.213333333333331</v>
      </c>
      <c r="D408" s="22">
        <v>50</v>
      </c>
    </row>
    <row r="409" spans="1:4" ht="15" x14ac:dyDescent="0.25">
      <c r="A409" s="22"/>
      <c r="B409" s="22">
        <v>1</v>
      </c>
      <c r="C409" s="22">
        <v>51.666666666666657</v>
      </c>
      <c r="D409" s="22">
        <v>49.999999999999986</v>
      </c>
    </row>
    <row r="410" spans="1:4" ht="15" x14ac:dyDescent="0.25">
      <c r="A410" s="22" t="s">
        <v>56</v>
      </c>
      <c r="B410" s="22">
        <v>0</v>
      </c>
      <c r="C410" s="22">
        <f t="array" ref="C410:D420">(MMULT(MMULT(F323:I333,U330:X333),B328:C331))</f>
        <v>51.666666666666657</v>
      </c>
      <c r="D410" s="22">
        <v>49.999999999999986</v>
      </c>
    </row>
    <row r="411" spans="1:4" ht="15" x14ac:dyDescent="0.25">
      <c r="A411" s="22"/>
      <c r="B411" s="22">
        <v>0.1</v>
      </c>
      <c r="C411" s="22">
        <v>49.228333333333325</v>
      </c>
      <c r="D411" s="22">
        <v>50.001666666666658</v>
      </c>
    </row>
    <row r="412" spans="1:4" ht="15" x14ac:dyDescent="0.25">
      <c r="A412" s="22"/>
      <c r="B412" s="22">
        <v>0.2</v>
      </c>
      <c r="C412" s="22">
        <v>46.96</v>
      </c>
      <c r="D412" s="22">
        <v>50.013333333333328</v>
      </c>
    </row>
    <row r="413" spans="1:4" ht="15" x14ac:dyDescent="0.25">
      <c r="A413" s="22"/>
      <c r="B413" s="22">
        <v>0.3</v>
      </c>
      <c r="C413" s="22">
        <v>44.931666666666665</v>
      </c>
      <c r="D413" s="22">
        <v>50.044999999999995</v>
      </c>
    </row>
    <row r="414" spans="1:4" ht="15" x14ac:dyDescent="0.25">
      <c r="A414" s="22"/>
      <c r="B414" s="22">
        <v>0.4</v>
      </c>
      <c r="C414" s="22">
        <v>43.213333333333331</v>
      </c>
      <c r="D414" s="22">
        <v>50.106666666666669</v>
      </c>
    </row>
    <row r="415" spans="1:4" ht="15" x14ac:dyDescent="0.25">
      <c r="A415" s="22"/>
      <c r="B415" s="22">
        <v>0.5</v>
      </c>
      <c r="C415" s="22">
        <v>41.875</v>
      </c>
      <c r="D415" s="22">
        <v>50.208333333333329</v>
      </c>
    </row>
    <row r="416" spans="1:4" ht="15" x14ac:dyDescent="0.25">
      <c r="A416" s="22"/>
      <c r="B416" s="22">
        <v>0.6</v>
      </c>
      <c r="C416" s="22">
        <v>40.986666666666672</v>
      </c>
      <c r="D416" s="22">
        <v>50.36</v>
      </c>
    </row>
    <row r="417" spans="1:4" ht="15" x14ac:dyDescent="0.25">
      <c r="A417" s="22"/>
      <c r="B417" s="22">
        <v>0.7</v>
      </c>
      <c r="C417" s="22">
        <v>40.618333333333325</v>
      </c>
      <c r="D417" s="22">
        <v>50.571666666666665</v>
      </c>
    </row>
    <row r="418" spans="1:4" ht="15" x14ac:dyDescent="0.25">
      <c r="A418" s="22"/>
      <c r="B418" s="22">
        <v>0.8</v>
      </c>
      <c r="C418" s="22">
        <v>40.839999999999996</v>
      </c>
      <c r="D418" s="22">
        <v>50.853333333333339</v>
      </c>
    </row>
    <row r="419" spans="1:4" ht="15" x14ac:dyDescent="0.25">
      <c r="A419" s="22"/>
      <c r="B419" s="22">
        <v>0.9</v>
      </c>
      <c r="C419" s="22">
        <v>41.721666666666671</v>
      </c>
      <c r="D419" s="22">
        <v>51.214999999999996</v>
      </c>
    </row>
    <row r="420" spans="1:4" ht="15" x14ac:dyDescent="0.25">
      <c r="A420" s="22"/>
      <c r="B420" s="22">
        <v>1</v>
      </c>
      <c r="C420" s="22">
        <v>43.333333333333329</v>
      </c>
      <c r="D420" s="22">
        <v>51.666666666666657</v>
      </c>
    </row>
    <row r="421" spans="1:4" ht="15" x14ac:dyDescent="0.25">
      <c r="A421" s="22" t="s">
        <v>57</v>
      </c>
      <c r="B421" s="22">
        <v>0</v>
      </c>
      <c r="C421" s="22">
        <f t="array" ref="C421:D431">(MMULT(MMULT(F323:I333,U330:X333),B329:C332))</f>
        <v>43.333333333333329</v>
      </c>
      <c r="D421" s="22">
        <v>51.666666666666657</v>
      </c>
    </row>
    <row r="422" spans="1:4" ht="15" x14ac:dyDescent="0.25">
      <c r="A422" s="22"/>
      <c r="B422" s="22">
        <v>0.1</v>
      </c>
      <c r="C422" s="22">
        <v>45.709999999999994</v>
      </c>
      <c r="D422" s="22">
        <v>52.22</v>
      </c>
    </row>
    <row r="423" spans="1:4" ht="15" x14ac:dyDescent="0.25">
      <c r="A423" s="22"/>
      <c r="B423" s="22">
        <v>0.2</v>
      </c>
      <c r="C423" s="22">
        <v>48.746666666666663</v>
      </c>
      <c r="D423" s="22">
        <v>52.893333333333331</v>
      </c>
    </row>
    <row r="424" spans="1:4" ht="15" x14ac:dyDescent="0.25">
      <c r="A424" s="22"/>
      <c r="B424" s="22">
        <v>0.3</v>
      </c>
      <c r="C424" s="22">
        <v>52.303333333333327</v>
      </c>
      <c r="D424" s="22">
        <v>53.706666666666663</v>
      </c>
    </row>
    <row r="425" spans="1:4" ht="15" x14ac:dyDescent="0.25">
      <c r="A425" s="22"/>
      <c r="B425" s="22">
        <v>0.4</v>
      </c>
      <c r="C425" s="22">
        <v>56.24</v>
      </c>
      <c r="D425" s="22">
        <v>54.68</v>
      </c>
    </row>
    <row r="426" spans="1:4" ht="15" x14ac:dyDescent="0.25">
      <c r="A426" s="22"/>
      <c r="B426" s="22">
        <v>0.5</v>
      </c>
      <c r="C426" s="22">
        <v>60.416666666666664</v>
      </c>
      <c r="D426" s="22">
        <v>55.833333333333336</v>
      </c>
    </row>
    <row r="427" spans="1:4" ht="15" x14ac:dyDescent="0.25">
      <c r="A427" s="22"/>
      <c r="B427" s="22">
        <v>0.6</v>
      </c>
      <c r="C427" s="22">
        <v>64.693333333333328</v>
      </c>
      <c r="D427" s="22">
        <v>57.186666666666675</v>
      </c>
    </row>
    <row r="428" spans="1:4" ht="15" x14ac:dyDescent="0.25">
      <c r="A428" s="22"/>
      <c r="B428" s="22">
        <v>0.7</v>
      </c>
      <c r="C428" s="22">
        <v>68.929999999999993</v>
      </c>
      <c r="D428" s="22">
        <v>58.759999999999991</v>
      </c>
    </row>
    <row r="429" spans="1:4" ht="15" x14ac:dyDescent="0.25">
      <c r="A429" s="22"/>
      <c r="B429" s="22">
        <v>0.8</v>
      </c>
      <c r="C429" s="22">
        <v>72.986666666666679</v>
      </c>
      <c r="D429" s="22">
        <v>60.573333333333338</v>
      </c>
    </row>
    <row r="430" spans="1:4" ht="15" x14ac:dyDescent="0.25">
      <c r="A430" s="22"/>
      <c r="B430" s="22">
        <v>0.9</v>
      </c>
      <c r="C430" s="22">
        <v>76.723333333333343</v>
      </c>
      <c r="D430" s="22">
        <v>62.646666666666668</v>
      </c>
    </row>
    <row r="431" spans="1:4" ht="15" x14ac:dyDescent="0.25">
      <c r="A431" s="22"/>
      <c r="B431" s="22">
        <v>1</v>
      </c>
      <c r="C431" s="22">
        <v>79.999999999999986</v>
      </c>
      <c r="D431" s="22">
        <v>64.999999999999986</v>
      </c>
    </row>
    <row r="432" spans="1:4" ht="15" x14ac:dyDescent="0.25">
      <c r="A432" s="22" t="s">
        <v>58</v>
      </c>
      <c r="B432" s="22">
        <v>0</v>
      </c>
      <c r="C432" s="22">
        <f t="array" ref="C432:D442">(MMULT(MMULT(F323:I333,U330:X333),B330:C333))</f>
        <v>80</v>
      </c>
      <c r="D432" s="22">
        <v>65</v>
      </c>
    </row>
    <row r="433" spans="1:4" ht="15" x14ac:dyDescent="0.25">
      <c r="A433" s="22"/>
      <c r="B433" s="22">
        <v>0.1</v>
      </c>
      <c r="C433" s="22">
        <v>82.703333333333333</v>
      </c>
      <c r="D433" s="22">
        <v>67.64</v>
      </c>
    </row>
    <row r="434" spans="1:4" ht="15" x14ac:dyDescent="0.25">
      <c r="A434" s="22"/>
      <c r="B434" s="22">
        <v>0.2</v>
      </c>
      <c r="C434" s="22">
        <v>84.826666666666654</v>
      </c>
      <c r="D434" s="22">
        <v>70.52</v>
      </c>
    </row>
    <row r="435" spans="1:4" ht="15" x14ac:dyDescent="0.25">
      <c r="A435" s="22"/>
      <c r="B435" s="22">
        <v>0.3</v>
      </c>
      <c r="C435" s="22">
        <v>86.389999999999986</v>
      </c>
      <c r="D435" s="22">
        <v>73.58</v>
      </c>
    </row>
    <row r="436" spans="1:4" ht="15" x14ac:dyDescent="0.25">
      <c r="A436" s="22"/>
      <c r="B436" s="22">
        <v>0.4</v>
      </c>
      <c r="C436" s="22">
        <v>87.413333333333327</v>
      </c>
      <c r="D436" s="22">
        <v>76.760000000000005</v>
      </c>
    </row>
    <row r="437" spans="1:4" ht="15" x14ac:dyDescent="0.25">
      <c r="A437" s="22"/>
      <c r="B437" s="22">
        <v>0.5</v>
      </c>
      <c r="C437" s="22">
        <v>87.916666666666671</v>
      </c>
      <c r="D437" s="22">
        <v>80</v>
      </c>
    </row>
    <row r="438" spans="1:4" ht="15" x14ac:dyDescent="0.25">
      <c r="A438" s="22"/>
      <c r="B438" s="22">
        <v>0.6</v>
      </c>
      <c r="C438" s="22">
        <v>87.92</v>
      </c>
      <c r="D438" s="22">
        <v>83.24</v>
      </c>
    </row>
    <row r="439" spans="1:4" ht="15" x14ac:dyDescent="0.25">
      <c r="A439" s="22"/>
      <c r="B439" s="22">
        <v>0.7</v>
      </c>
      <c r="C439" s="22">
        <v>87.443333333333328</v>
      </c>
      <c r="D439" s="22">
        <v>86.419999999999987</v>
      </c>
    </row>
    <row r="440" spans="1:4" ht="15" x14ac:dyDescent="0.25">
      <c r="A440" s="22"/>
      <c r="B440" s="22">
        <v>0.8</v>
      </c>
      <c r="C440" s="22">
        <v>86.506666666666661</v>
      </c>
      <c r="D440" s="22">
        <v>89.48</v>
      </c>
    </row>
    <row r="441" spans="1:4" ht="15" x14ac:dyDescent="0.25">
      <c r="A441" s="22"/>
      <c r="B441" s="22">
        <v>0.9</v>
      </c>
      <c r="C441" s="22">
        <v>85.13000000000001</v>
      </c>
      <c r="D441" s="22">
        <v>92.360000000000014</v>
      </c>
    </row>
    <row r="442" spans="1:4" ht="15" x14ac:dyDescent="0.25">
      <c r="A442" s="22"/>
      <c r="B442" s="22">
        <v>1</v>
      </c>
      <c r="C442" s="22">
        <v>83.333333333333314</v>
      </c>
      <c r="D442" s="22">
        <v>94.999999999999986</v>
      </c>
    </row>
    <row r="443" spans="1:4" ht="15" x14ac:dyDescent="0.25">
      <c r="A443" s="22" t="s">
        <v>59</v>
      </c>
      <c r="B443" s="22">
        <v>0</v>
      </c>
      <c r="C443" s="22">
        <f t="array" ref="C443:D453">(MMULT(MMULT(F323:I333,Z330:AC333),B331:C334))</f>
        <v>83.333333333333329</v>
      </c>
      <c r="D443" s="22">
        <v>94.999999999999986</v>
      </c>
    </row>
    <row r="444" spans="1:4" ht="15" x14ac:dyDescent="0.25">
      <c r="A444" s="22"/>
      <c r="B444" s="22">
        <v>0.1</v>
      </c>
      <c r="C444" s="22">
        <v>81.139166666666654</v>
      </c>
      <c r="D444" s="22">
        <v>97.347083333333316</v>
      </c>
    </row>
    <row r="445" spans="1:4" ht="15" x14ac:dyDescent="0.25">
      <c r="A445" s="22"/>
      <c r="B445" s="22">
        <v>0.2</v>
      </c>
      <c r="C445" s="22">
        <v>78.58</v>
      </c>
      <c r="D445" s="22">
        <v>99.376666666666679</v>
      </c>
    </row>
    <row r="446" spans="1:4" ht="15" x14ac:dyDescent="0.25">
      <c r="A446" s="22"/>
      <c r="B446" s="22">
        <v>0.3</v>
      </c>
      <c r="C446" s="22">
        <v>75.69083333333333</v>
      </c>
      <c r="D446" s="22">
        <v>101.07124999999999</v>
      </c>
    </row>
    <row r="447" spans="1:4" ht="15" x14ac:dyDescent="0.25">
      <c r="A447" s="22"/>
      <c r="B447" s="22">
        <v>0.4</v>
      </c>
      <c r="C447" s="22">
        <v>72.506666666666661</v>
      </c>
      <c r="D447" s="22">
        <v>102.41333333333333</v>
      </c>
    </row>
    <row r="448" spans="1:4" ht="15" x14ac:dyDescent="0.25">
      <c r="A448" s="22"/>
      <c r="B448" s="22">
        <v>0.5</v>
      </c>
      <c r="C448" s="22">
        <v>69.0625</v>
      </c>
      <c r="D448" s="22">
        <v>103.38541666666666</v>
      </c>
    </row>
    <row r="449" spans="1:4" ht="15" x14ac:dyDescent="0.25">
      <c r="A449" s="22"/>
      <c r="B449" s="22">
        <v>0.6</v>
      </c>
      <c r="C449" s="22">
        <v>65.393333333333331</v>
      </c>
      <c r="D449" s="22">
        <v>103.97</v>
      </c>
    </row>
    <row r="450" spans="1:4" ht="15" x14ac:dyDescent="0.25">
      <c r="A450" s="22"/>
      <c r="B450" s="22">
        <v>0.7</v>
      </c>
      <c r="C450" s="22">
        <v>61.534166666666657</v>
      </c>
      <c r="D450" s="22">
        <v>104.14958333333333</v>
      </c>
    </row>
    <row r="451" spans="1:4" ht="15" x14ac:dyDescent="0.25">
      <c r="A451" s="22"/>
      <c r="B451" s="22">
        <v>0.8</v>
      </c>
      <c r="C451" s="22">
        <v>57.519999999999996</v>
      </c>
      <c r="D451" s="22">
        <v>103.90666666666667</v>
      </c>
    </row>
    <row r="452" spans="1:4" ht="15" x14ac:dyDescent="0.25">
      <c r="A452" s="22"/>
      <c r="B452" s="22">
        <v>0.9</v>
      </c>
      <c r="C452" s="22">
        <v>53.385833333333338</v>
      </c>
      <c r="D452" s="22">
        <v>103.22375000000001</v>
      </c>
    </row>
    <row r="453" spans="1:4" ht="15" x14ac:dyDescent="0.25">
      <c r="A453" s="22"/>
      <c r="B453" s="22">
        <v>1</v>
      </c>
      <c r="C453" s="22">
        <v>49.166666666666657</v>
      </c>
      <c r="D453" s="22">
        <v>102.08333333333331</v>
      </c>
    </row>
    <row r="454" spans="1:4" ht="15" x14ac:dyDescent="0.25">
      <c r="A454" s="22" t="s">
        <v>60</v>
      </c>
      <c r="B454" s="22">
        <v>0</v>
      </c>
      <c r="C454" s="22">
        <f t="array" ref="C454:D464">(MMULT(MMULT(F323:I333,AE330:AH333),B332:C335))</f>
        <v>49.166666666666664</v>
      </c>
      <c r="D454" s="22">
        <v>102.08333333333331</v>
      </c>
    </row>
    <row r="455" spans="1:4" ht="15" x14ac:dyDescent="0.25">
      <c r="A455" s="22"/>
      <c r="B455" s="22">
        <v>0.1</v>
      </c>
      <c r="C455" s="22">
        <v>44.907500000000006</v>
      </c>
      <c r="D455" s="22">
        <v>100.46625</v>
      </c>
    </row>
    <row r="456" spans="1:4" ht="15" x14ac:dyDescent="0.25">
      <c r="A456" s="22"/>
      <c r="B456" s="22">
        <v>0.2</v>
      </c>
      <c r="C456" s="22">
        <v>40.693333333333321</v>
      </c>
      <c r="D456" s="22">
        <v>98.346666666666664</v>
      </c>
    </row>
    <row r="457" spans="1:4" ht="15" x14ac:dyDescent="0.25">
      <c r="A457" s="22"/>
      <c r="B457" s="22">
        <v>0.3</v>
      </c>
      <c r="C457" s="22">
        <v>36.619166666666665</v>
      </c>
      <c r="D457" s="22">
        <v>95.697083333333325</v>
      </c>
    </row>
    <row r="458" spans="1:4" ht="15" x14ac:dyDescent="0.25">
      <c r="A458" s="22"/>
      <c r="B458" s="22">
        <v>0.4</v>
      </c>
      <c r="C458" s="22">
        <v>32.779999999999994</v>
      </c>
      <c r="D458" s="22">
        <v>92.490000000000009</v>
      </c>
    </row>
    <row r="459" spans="1:4" ht="15" x14ac:dyDescent="0.25">
      <c r="A459" s="22"/>
      <c r="B459" s="22">
        <v>0.5</v>
      </c>
      <c r="C459" s="22">
        <v>29.270833333333329</v>
      </c>
      <c r="D459" s="22">
        <v>88.697916666666657</v>
      </c>
    </row>
    <row r="460" spans="1:4" ht="15" x14ac:dyDescent="0.25">
      <c r="A460" s="22"/>
      <c r="B460" s="22">
        <v>0.6</v>
      </c>
      <c r="C460" s="22">
        <v>26.18666666666666</v>
      </c>
      <c r="D460" s="22">
        <v>84.293333333333322</v>
      </c>
    </row>
    <row r="461" spans="1:4" ht="15" x14ac:dyDescent="0.25">
      <c r="A461" s="22"/>
      <c r="B461" s="22">
        <v>0.7</v>
      </c>
      <c r="C461" s="22">
        <v>23.622499999999995</v>
      </c>
      <c r="D461" s="22">
        <v>79.248749999999987</v>
      </c>
    </row>
    <row r="462" spans="1:4" ht="15" x14ac:dyDescent="0.25">
      <c r="A462" s="22"/>
      <c r="B462" s="22">
        <v>0.8</v>
      </c>
      <c r="C462" s="22">
        <v>21.673333333333325</v>
      </c>
      <c r="D462" s="22">
        <v>73.536666666666648</v>
      </c>
    </row>
    <row r="463" spans="1:4" ht="15" x14ac:dyDescent="0.25">
      <c r="A463" s="22"/>
      <c r="B463" s="22">
        <v>0.9</v>
      </c>
      <c r="C463" s="22">
        <v>20.434166666666663</v>
      </c>
      <c r="D463" s="22">
        <v>67.129583333333329</v>
      </c>
    </row>
    <row r="464" spans="1:4" ht="15" x14ac:dyDescent="0.25">
      <c r="A464" s="22"/>
      <c r="B464" s="22">
        <v>1</v>
      </c>
      <c r="C464" s="22">
        <v>19.999999999999993</v>
      </c>
      <c r="D464" s="22">
        <v>59.999999999999986</v>
      </c>
    </row>
    <row r="467" spans="1:2" x14ac:dyDescent="0.2">
      <c r="A467" t="s">
        <v>80</v>
      </c>
    </row>
    <row r="469" spans="1:2" x14ac:dyDescent="0.2">
      <c r="B469" t="s">
        <v>81</v>
      </c>
    </row>
    <row r="470" spans="1:2" x14ac:dyDescent="0.2">
      <c r="B470" t="s">
        <v>82</v>
      </c>
    </row>
    <row r="471" spans="1:2" x14ac:dyDescent="0.2">
      <c r="B471" t="s">
        <v>83</v>
      </c>
    </row>
    <row r="472" spans="1:2" x14ac:dyDescent="0.2">
      <c r="B472" t="s">
        <v>84</v>
      </c>
    </row>
  </sheetData>
  <phoneticPr fontId="0" type="noConversion"/>
  <pageMargins left="0.74803149606299213" right="0.74803149606299213" top="0.98425196850393704" bottom="0.98425196850393704" header="0.51181102362204722" footer="0.51181102362204722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2"/>
  <sheetViews>
    <sheetView topLeftCell="A19" zoomScaleNormal="100" workbookViewId="0">
      <selection activeCell="C17" sqref="C17"/>
    </sheetView>
  </sheetViews>
  <sheetFormatPr defaultRowHeight="12.75" x14ac:dyDescent="0.2"/>
  <sheetData>
    <row r="1" spans="1:3" ht="27.75" x14ac:dyDescent="0.4">
      <c r="A1" s="13" t="s">
        <v>21</v>
      </c>
    </row>
    <row r="2" spans="1:3" ht="27.75" x14ac:dyDescent="0.4">
      <c r="A2" s="13"/>
    </row>
    <row r="3" spans="1:3" ht="18" x14ac:dyDescent="0.25">
      <c r="A3" s="1" t="s">
        <v>23</v>
      </c>
    </row>
    <row r="4" spans="1:3" ht="18" x14ac:dyDescent="0.25">
      <c r="A4" s="1"/>
    </row>
    <row r="5" spans="1:3" ht="13.5" thickBot="1" x14ac:dyDescent="0.25">
      <c r="B5" s="6" t="s">
        <v>0</v>
      </c>
      <c r="C5" s="6" t="s">
        <v>1</v>
      </c>
    </row>
    <row r="6" spans="1:3" ht="13.5" x14ac:dyDescent="0.25">
      <c r="A6" s="7" t="s">
        <v>2</v>
      </c>
      <c r="B6" s="2">
        <v>10</v>
      </c>
      <c r="C6" s="3">
        <v>20</v>
      </c>
    </row>
    <row r="7" spans="1:3" ht="13.5" x14ac:dyDescent="0.25">
      <c r="A7" s="7" t="s">
        <v>3</v>
      </c>
      <c r="B7" s="4">
        <v>30</v>
      </c>
      <c r="C7" s="5">
        <v>5</v>
      </c>
    </row>
    <row r="8" spans="1:3" ht="13.5" x14ac:dyDescent="0.25">
      <c r="A8" s="7" t="s">
        <v>4</v>
      </c>
      <c r="B8" s="4">
        <v>60</v>
      </c>
      <c r="C8" s="5">
        <v>5</v>
      </c>
    </row>
    <row r="9" spans="1:3" ht="13.5" x14ac:dyDescent="0.25">
      <c r="A9" s="7" t="s">
        <v>5</v>
      </c>
      <c r="B9" s="4">
        <v>90</v>
      </c>
      <c r="C9" s="5">
        <v>25</v>
      </c>
    </row>
    <row r="10" spans="1:3" ht="13.5" x14ac:dyDescent="0.25">
      <c r="A10" s="7" t="s">
        <v>6</v>
      </c>
      <c r="B10" s="4">
        <v>100</v>
      </c>
      <c r="C10" s="5">
        <v>45</v>
      </c>
    </row>
    <row r="11" spans="1:3" ht="13.5" x14ac:dyDescent="0.25">
      <c r="A11" s="7" t="s">
        <v>7</v>
      </c>
      <c r="B11" s="4">
        <v>80</v>
      </c>
      <c r="C11" s="5">
        <v>55</v>
      </c>
    </row>
    <row r="12" spans="1:3" ht="13.5" x14ac:dyDescent="0.25">
      <c r="A12" s="7" t="s">
        <v>8</v>
      </c>
      <c r="B12" s="4">
        <v>85</v>
      </c>
      <c r="C12" s="5">
        <v>80</v>
      </c>
    </row>
    <row r="13" spans="1:3" ht="13.5" x14ac:dyDescent="0.25">
      <c r="A13" s="7" t="s">
        <v>9</v>
      </c>
      <c r="B13" s="10">
        <v>75</v>
      </c>
      <c r="C13" s="11">
        <v>90</v>
      </c>
    </row>
    <row r="14" spans="1:3" ht="13.5" x14ac:dyDescent="0.25">
      <c r="A14" s="7" t="s">
        <v>10</v>
      </c>
      <c r="B14" s="4">
        <v>85</v>
      </c>
      <c r="C14" s="5">
        <v>95</v>
      </c>
    </row>
    <row r="15" spans="1:3" ht="13.5" x14ac:dyDescent="0.25">
      <c r="A15" s="7" t="s">
        <v>11</v>
      </c>
      <c r="B15" s="4">
        <v>105</v>
      </c>
      <c r="C15" s="5">
        <v>85</v>
      </c>
    </row>
    <row r="16" spans="1:3" ht="13.5" x14ac:dyDescent="0.25">
      <c r="A16" s="7" t="s">
        <v>12</v>
      </c>
      <c r="B16" s="4">
        <v>105</v>
      </c>
      <c r="C16" s="5">
        <v>90</v>
      </c>
    </row>
    <row r="17" spans="1:3" ht="13.5" x14ac:dyDescent="0.25">
      <c r="A17" s="7" t="s">
        <v>13</v>
      </c>
      <c r="B17" s="10">
        <v>85</v>
      </c>
      <c r="C17" s="11">
        <v>100</v>
      </c>
    </row>
    <row r="18" spans="1:3" ht="13.5" x14ac:dyDescent="0.25">
      <c r="A18" s="7" t="s">
        <v>14</v>
      </c>
      <c r="B18" s="10">
        <v>65</v>
      </c>
      <c r="C18" s="11">
        <v>90</v>
      </c>
    </row>
    <row r="19" spans="1:3" ht="13.5" x14ac:dyDescent="0.25">
      <c r="A19" s="7" t="s">
        <v>15</v>
      </c>
      <c r="B19" s="4">
        <v>80</v>
      </c>
      <c r="C19" s="5">
        <v>75</v>
      </c>
    </row>
    <row r="20" spans="1:3" ht="13.5" x14ac:dyDescent="0.25">
      <c r="A20" s="7" t="s">
        <v>16</v>
      </c>
      <c r="B20" s="4">
        <v>75</v>
      </c>
      <c r="C20" s="5">
        <v>50</v>
      </c>
    </row>
    <row r="21" spans="1:3" ht="13.5" x14ac:dyDescent="0.25">
      <c r="A21" s="7" t="s">
        <v>17</v>
      </c>
      <c r="B21" s="10">
        <v>90</v>
      </c>
      <c r="C21" s="11">
        <v>40</v>
      </c>
    </row>
    <row r="22" spans="1:3" ht="13.5" x14ac:dyDescent="0.25">
      <c r="A22" s="7" t="s">
        <v>18</v>
      </c>
      <c r="B22" s="10">
        <v>80</v>
      </c>
      <c r="C22" s="11">
        <v>30</v>
      </c>
    </row>
    <row r="23" spans="1:3" ht="13.5" x14ac:dyDescent="0.25">
      <c r="A23" s="7" t="s">
        <v>19</v>
      </c>
      <c r="B23" s="10">
        <v>60</v>
      </c>
      <c r="C23" s="11">
        <v>15</v>
      </c>
    </row>
    <row r="24" spans="1:3" ht="13.5" x14ac:dyDescent="0.25">
      <c r="A24" s="7" t="s">
        <v>20</v>
      </c>
      <c r="B24" s="10">
        <v>30</v>
      </c>
      <c r="C24" s="11">
        <v>15</v>
      </c>
    </row>
    <row r="25" spans="1:3" ht="14.25" thickBot="1" x14ac:dyDescent="0.3">
      <c r="A25" s="7" t="s">
        <v>24</v>
      </c>
      <c r="B25" s="14">
        <v>20</v>
      </c>
      <c r="C25" s="15">
        <v>20</v>
      </c>
    </row>
    <row r="29" spans="1:3" x14ac:dyDescent="0.2">
      <c r="B29" s="12"/>
    </row>
    <row r="30" spans="1:3" x14ac:dyDescent="0.2">
      <c r="B30" s="12"/>
    </row>
    <row r="31" spans="1:3" x14ac:dyDescent="0.2">
      <c r="B31" s="12"/>
    </row>
    <row r="32" spans="1:3" x14ac:dyDescent="0.2">
      <c r="B32" s="12"/>
    </row>
  </sheetData>
  <pageMargins left="0.74803149606299213" right="0.74803149606299213" top="0.98425196850393704" bottom="0.98425196850393704" header="0.51181102362204722" footer="0.51181102362204722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445705</vt:lpstr>
      <vt:lpstr>Main</vt:lpstr>
      <vt:lpstr>Main (2)</vt:lpstr>
      <vt:lpstr>'Main (2)'!b</vt:lpstr>
      <vt:lpstr>b</vt:lpstr>
      <vt:lpstr>'Main (2)'!cc</vt:lpstr>
      <vt:lpstr>cc</vt:lpstr>
      <vt:lpstr>'Main (2)'!s</vt:lpstr>
      <vt:lpstr>s</vt:lpstr>
    </vt:vector>
  </TitlesOfParts>
  <Company>BCIT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W. Sabo</dc:creator>
  <cp:lastModifiedBy>user.gen.laptop</cp:lastModifiedBy>
  <dcterms:created xsi:type="dcterms:W3CDTF">2001-07-16T14:42:18Z</dcterms:created>
  <dcterms:modified xsi:type="dcterms:W3CDTF">2016-12-06T19:07:49Z</dcterms:modified>
</cp:coreProperties>
</file>