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.gen.laptop\Dropbox\BCIT\COMP4560 Computer Graphics\A6\"/>
    </mc:Choice>
  </mc:AlternateContent>
  <bookViews>
    <workbookView xWindow="-15" yWindow="120" windowWidth="11295" windowHeight="4350" firstSheet="1" activeTab="1"/>
  </bookViews>
  <sheets>
    <sheet name="200810BFG" sheetId="2" state="hidden" r:id="rId1"/>
    <sheet name="Main" sheetId="1" r:id="rId2"/>
  </sheets>
  <calcPr calcId="171027"/>
</workbook>
</file>

<file path=xl/calcChain.xml><?xml version="1.0" encoding="utf-8"?>
<calcChain xmlns="http://schemas.openxmlformats.org/spreadsheetml/2006/main">
  <c r="D162" i="1" l="1"/>
  <c r="B125" i="1" l="1"/>
  <c r="C125" i="1"/>
  <c r="D125" i="1"/>
  <c r="D129" i="1"/>
  <c r="D132" i="1"/>
  <c r="D133" i="1"/>
  <c r="D142" i="1"/>
  <c r="D143" i="1"/>
  <c r="D146" i="1"/>
  <c r="C147" i="1"/>
  <c r="D32" i="1"/>
  <c r="D134" i="1" s="1"/>
  <c r="C32" i="1"/>
  <c r="C124" i="1" s="1"/>
  <c r="B32" i="1"/>
  <c r="B119" i="1" s="1"/>
  <c r="D126" i="1" l="1"/>
  <c r="C140" i="1"/>
  <c r="C139" i="1"/>
  <c r="C136" i="1"/>
  <c r="C150" i="1"/>
  <c r="D149" i="1"/>
  <c r="D135" i="1"/>
  <c r="D122" i="1"/>
  <c r="B129" i="1"/>
  <c r="B120" i="1"/>
  <c r="C149" i="1"/>
  <c r="B142" i="1"/>
  <c r="C135" i="1"/>
  <c r="C132" i="1"/>
  <c r="D128" i="1"/>
  <c r="D119" i="1"/>
  <c r="B146" i="1"/>
  <c r="B135" i="1"/>
  <c r="C128" i="1"/>
  <c r="C119" i="1"/>
  <c r="C145" i="1"/>
  <c r="D137" i="1"/>
  <c r="B128" i="1"/>
  <c r="B148" i="1"/>
  <c r="B145" i="1"/>
  <c r="B141" i="1"/>
  <c r="C137" i="1"/>
  <c r="C134" i="1"/>
  <c r="D130" i="1"/>
  <c r="D127" i="1"/>
  <c r="C121" i="1"/>
  <c r="C146" i="1"/>
  <c r="C122" i="1"/>
  <c r="B149" i="1"/>
  <c r="C138" i="1"/>
  <c r="D131" i="1"/>
  <c r="D124" i="1"/>
  <c r="B122" i="1"/>
  <c r="C148" i="1"/>
  <c r="C141" i="1"/>
  <c r="C131" i="1"/>
  <c r="D121" i="1"/>
  <c r="D150" i="1"/>
  <c r="D147" i="1"/>
  <c r="B144" i="1"/>
  <c r="D140" i="1"/>
  <c r="D136" i="1"/>
  <c r="B134" i="1"/>
  <c r="C130" i="1"/>
  <c r="B127" i="1"/>
  <c r="D123" i="1"/>
  <c r="B121" i="1"/>
  <c r="C123" i="1"/>
  <c r="B150" i="1"/>
  <c r="B147" i="1"/>
  <c r="B143" i="1"/>
  <c r="B140" i="1"/>
  <c r="B136" i="1"/>
  <c r="C133" i="1"/>
  <c r="C129" i="1"/>
  <c r="B139" i="1"/>
  <c r="D141" i="1"/>
  <c r="B26" i="1"/>
  <c r="T66" i="1" l="1"/>
  <c r="B51" i="1"/>
  <c r="U66" i="1" s="1"/>
  <c r="C52" i="1"/>
  <c r="T67" i="1" s="1"/>
  <c r="B52" i="1"/>
  <c r="U67" i="1" s="1"/>
  <c r="C53" i="1"/>
  <c r="T15" i="1" s="1"/>
  <c r="B53" i="1"/>
  <c r="U68" i="1" s="1"/>
  <c r="T69" i="1"/>
  <c r="B50" i="1"/>
  <c r="U69" i="1" s="1"/>
  <c r="C56" i="1"/>
  <c r="T71" i="1" s="1"/>
  <c r="B56" i="1"/>
  <c r="U71" i="1" s="1"/>
  <c r="C57" i="1"/>
  <c r="T72" i="1" s="1"/>
  <c r="B57" i="1"/>
  <c r="U72" i="1" s="1"/>
  <c r="C28" i="1"/>
  <c r="T73" i="1" s="1"/>
  <c r="B28" i="1"/>
  <c r="U73" i="1" s="1"/>
  <c r="C26" i="1"/>
  <c r="U75" i="1"/>
  <c r="B27" i="1"/>
  <c r="U76" i="1" s="1"/>
  <c r="C29" i="1"/>
  <c r="T78" i="1" s="1"/>
  <c r="B29" i="1"/>
  <c r="C30" i="1"/>
  <c r="T79" i="1" s="1"/>
  <c r="C31" i="1"/>
  <c r="T80" i="1" s="1"/>
  <c r="F8" i="1"/>
  <c r="F12" i="1" s="1"/>
  <c r="C93" i="1" s="1"/>
  <c r="D8" i="1"/>
  <c r="D12" i="1" s="1"/>
  <c r="D53" i="1"/>
  <c r="T6" i="1"/>
  <c r="T7" i="1"/>
  <c r="C55" i="1"/>
  <c r="T8" i="1" s="1"/>
  <c r="B55" i="1"/>
  <c r="U8" i="1" s="1"/>
  <c r="C46" i="1"/>
  <c r="T9" i="1" s="1"/>
  <c r="B46" i="1"/>
  <c r="U9" i="1" s="1"/>
  <c r="C45" i="1"/>
  <c r="T41" i="1" s="1"/>
  <c r="U10" i="1"/>
  <c r="T11" i="1"/>
  <c r="U11" i="1"/>
  <c r="T13" i="1"/>
  <c r="B49" i="1"/>
  <c r="U13" i="1" s="1"/>
  <c r="T14" i="1"/>
  <c r="C54" i="1"/>
  <c r="T16" i="1" s="1"/>
  <c r="B54" i="1"/>
  <c r="U16" i="1" s="1"/>
  <c r="C47" i="1"/>
  <c r="T17" i="1" s="1"/>
  <c r="B47" i="1"/>
  <c r="U17" i="1" s="1"/>
  <c r="C48" i="1"/>
  <c r="T18" i="1" s="1"/>
  <c r="B48" i="1"/>
  <c r="U18" i="1" s="1"/>
  <c r="T19" i="1"/>
  <c r="T21" i="1"/>
  <c r="U21" i="1"/>
  <c r="T22" i="1"/>
  <c r="B34" i="1"/>
  <c r="U49" i="1" s="1"/>
  <c r="C35" i="1"/>
  <c r="T23" i="1" s="1"/>
  <c r="B35" i="1"/>
  <c r="U23" i="1" s="1"/>
  <c r="C38" i="1"/>
  <c r="T24" i="1" s="1"/>
  <c r="U24" i="1"/>
  <c r="T25" i="1"/>
  <c r="U25" i="1"/>
  <c r="C42" i="1"/>
  <c r="T27" i="1" s="1"/>
  <c r="B42" i="1"/>
  <c r="U27" i="1" s="1"/>
  <c r="C43" i="1"/>
  <c r="T28" i="1" s="1"/>
  <c r="B43" i="1"/>
  <c r="U28" i="1" s="1"/>
  <c r="C44" i="1"/>
  <c r="T29" i="1" s="1"/>
  <c r="U29" i="1"/>
  <c r="C39" i="1"/>
  <c r="T30" i="1" s="1"/>
  <c r="U30" i="1"/>
  <c r="C41" i="1"/>
  <c r="T33" i="1" s="1"/>
  <c r="B41" i="1"/>
  <c r="U33" i="1" s="1"/>
  <c r="C40" i="1"/>
  <c r="T44" i="1" s="1"/>
  <c r="U34" i="1"/>
  <c r="C37" i="1"/>
  <c r="T35" i="1" s="1"/>
  <c r="U35" i="1"/>
  <c r="C36" i="1"/>
  <c r="T36" i="1" s="1"/>
  <c r="B36" i="1"/>
  <c r="U36" i="1" s="1"/>
  <c r="T39" i="1"/>
  <c r="U39" i="1"/>
  <c r="T40" i="1"/>
  <c r="U40" i="1"/>
  <c r="U41" i="1"/>
  <c r="U42" i="1"/>
  <c r="U43" i="1"/>
  <c r="U44" i="1"/>
  <c r="U45" i="1"/>
  <c r="U46" i="1"/>
  <c r="T47" i="1"/>
  <c r="U47" i="1"/>
  <c r="T49" i="1"/>
  <c r="T50" i="1"/>
  <c r="T56" i="1"/>
  <c r="T57" i="1"/>
  <c r="T65" i="1"/>
  <c r="U5" i="1"/>
  <c r="T5" i="1"/>
  <c r="D57" i="1"/>
  <c r="D56" i="1"/>
  <c r="D54" i="1"/>
  <c r="D50" i="1"/>
  <c r="D49" i="1"/>
  <c r="D48" i="1"/>
  <c r="D47" i="1"/>
  <c r="D44" i="1"/>
  <c r="D43" i="1"/>
  <c r="D40" i="1"/>
  <c r="D42" i="1"/>
  <c r="D41" i="1"/>
  <c r="D39" i="1"/>
  <c r="D38" i="1"/>
  <c r="D37" i="1"/>
  <c r="D36" i="1"/>
  <c r="D35" i="1"/>
  <c r="D34" i="1"/>
  <c r="D33" i="1"/>
  <c r="D31" i="1"/>
  <c r="D30" i="1"/>
  <c r="C65" i="1" s="1"/>
  <c r="D29" i="1"/>
  <c r="D28" i="1"/>
  <c r="D26" i="1"/>
  <c r="T43" i="1"/>
  <c r="T62" i="1" l="1"/>
  <c r="U65" i="1"/>
  <c r="T75" i="1"/>
  <c r="C120" i="1"/>
  <c r="D27" i="1"/>
  <c r="D120" i="1"/>
  <c r="U78" i="1"/>
  <c r="B123" i="1"/>
  <c r="B124" i="1"/>
  <c r="C27" i="1"/>
  <c r="T76" i="1" s="1"/>
  <c r="A93" i="1"/>
  <c r="T46" i="1"/>
  <c r="T42" i="1"/>
  <c r="T63" i="1"/>
  <c r="U62" i="1"/>
  <c r="U53" i="1"/>
  <c r="U61" i="1"/>
  <c r="T34" i="1"/>
  <c r="T31" i="1"/>
  <c r="T60" i="1"/>
  <c r="T53" i="1"/>
  <c r="T10" i="1"/>
  <c r="T61" i="1"/>
  <c r="T52" i="1"/>
  <c r="T54" i="1"/>
  <c r="T51" i="1"/>
  <c r="T59" i="1"/>
  <c r="U51" i="1"/>
  <c r="U14" i="1"/>
  <c r="B30" i="1"/>
  <c r="U79" i="1" s="1"/>
  <c r="U60" i="1"/>
  <c r="U52" i="1"/>
  <c r="U50" i="1"/>
  <c r="U19" i="1"/>
  <c r="U31" i="1"/>
  <c r="U63" i="1"/>
  <c r="U59" i="1"/>
  <c r="B31" i="1"/>
  <c r="U80" i="1" s="1"/>
  <c r="T45" i="1"/>
  <c r="T37" i="1"/>
  <c r="T68" i="1"/>
  <c r="T55" i="1"/>
  <c r="U6" i="1"/>
  <c r="U55" i="1"/>
  <c r="U15" i="1"/>
  <c r="U7" i="1"/>
  <c r="U37" i="1"/>
  <c r="U54" i="1"/>
  <c r="U56" i="1"/>
  <c r="U22" i="1"/>
  <c r="E12" i="1"/>
  <c r="U57" i="1"/>
  <c r="A65" i="1" l="1"/>
  <c r="B65" i="1"/>
  <c r="B93" i="1"/>
  <c r="B69" i="1" l="1"/>
  <c r="B104" i="1" s="1"/>
  <c r="C69" i="1"/>
  <c r="C104" i="1" s="1"/>
  <c r="A69" i="1"/>
  <c r="C97" i="1" l="1"/>
  <c r="B77" i="1"/>
  <c r="C98" i="1"/>
  <c r="C77" i="1"/>
  <c r="A104" i="1"/>
  <c r="C96" i="1"/>
  <c r="A77" i="1"/>
  <c r="A81" i="1" l="1"/>
  <c r="A103" i="1" s="1"/>
  <c r="B81" i="1"/>
  <c r="C81" i="1"/>
  <c r="B85" i="1" l="1"/>
  <c r="A97" i="1" s="1"/>
  <c r="B96" i="1"/>
  <c r="B97" i="1"/>
  <c r="B103" i="1"/>
  <c r="C85" i="1"/>
  <c r="B98" i="1"/>
  <c r="C103" i="1"/>
  <c r="A85" i="1"/>
  <c r="B102" i="1" l="1"/>
  <c r="A96" i="1"/>
  <c r="A102" i="1"/>
  <c r="C102" i="1"/>
  <c r="A98" i="1"/>
  <c r="A108" i="1" l="1" a="1"/>
  <c r="C108" i="1" s="1"/>
  <c r="G102" i="1" a="1"/>
  <c r="C109" i="1" l="1"/>
  <c r="D111" i="1"/>
  <c r="B111" i="1"/>
  <c r="A111" i="1"/>
  <c r="C110" i="1"/>
  <c r="B110" i="1"/>
  <c r="A110" i="1"/>
  <c r="D109" i="1"/>
  <c r="C111" i="1"/>
  <c r="A109" i="1"/>
  <c r="G118" i="1" s="1" a="1"/>
  <c r="G147" i="1" s="1"/>
  <c r="D108" i="1"/>
  <c r="B108" i="1"/>
  <c r="D110" i="1"/>
  <c r="B109" i="1"/>
  <c r="A108" i="1"/>
  <c r="I102" i="1"/>
  <c r="J102" i="1"/>
  <c r="G104" i="1"/>
  <c r="H105" i="1"/>
  <c r="G103" i="1"/>
  <c r="H104" i="1"/>
  <c r="J105" i="1"/>
  <c r="J103" i="1"/>
  <c r="G102" i="1"/>
  <c r="H103" i="1"/>
  <c r="J104" i="1"/>
  <c r="H102" i="1"/>
  <c r="G105" i="1"/>
  <c r="I103" i="1"/>
  <c r="I105" i="1"/>
  <c r="I104" i="1"/>
  <c r="M171" i="1" l="1"/>
  <c r="M128" i="1"/>
  <c r="M175" i="1"/>
  <c r="G148" i="1"/>
  <c r="G132" i="1"/>
  <c r="J120" i="1"/>
  <c r="G149" i="1"/>
  <c r="M183" i="1" s="1"/>
  <c r="H150" i="1"/>
  <c r="N184" i="1" s="1"/>
  <c r="G150" i="1"/>
  <c r="M184" i="1" s="1"/>
  <c r="I149" i="1"/>
  <c r="H147" i="1"/>
  <c r="I146" i="1"/>
  <c r="H140" i="1"/>
  <c r="I139" i="1"/>
  <c r="H129" i="1"/>
  <c r="C288" i="1" s="1"/>
  <c r="H121" i="1"/>
  <c r="N185" i="1" s="1"/>
  <c r="I120" i="1"/>
  <c r="J127" i="1"/>
  <c r="H122" i="1"/>
  <c r="N190" i="1" s="1"/>
  <c r="J126" i="1"/>
  <c r="I121" i="1"/>
  <c r="J145" i="1"/>
  <c r="J144" i="1"/>
  <c r="J139" i="1"/>
  <c r="J130" i="1"/>
  <c r="J125" i="1"/>
  <c r="G124" i="1"/>
  <c r="M192" i="1" s="1"/>
  <c r="I136" i="1"/>
  <c r="G118" i="1"/>
  <c r="H134" i="1"/>
  <c r="C287" i="1" s="1"/>
  <c r="J150" i="1"/>
  <c r="I133" i="1"/>
  <c r="G143" i="1"/>
  <c r="G144" i="1"/>
  <c r="G137" i="1"/>
  <c r="G130" i="1"/>
  <c r="G123" i="1"/>
  <c r="M191" i="1" s="1"/>
  <c r="G140" i="1"/>
  <c r="H133" i="1"/>
  <c r="H125" i="1"/>
  <c r="I140" i="1"/>
  <c r="G125" i="1"/>
  <c r="H138" i="1"/>
  <c r="G126" i="1"/>
  <c r="I137" i="1"/>
  <c r="H131" i="1"/>
  <c r="I130" i="1"/>
  <c r="H124" i="1"/>
  <c r="N192" i="1" s="1"/>
  <c r="I123" i="1"/>
  <c r="H118" i="1"/>
  <c r="J121" i="1"/>
  <c r="G120" i="1"/>
  <c r="M188" i="1" s="1"/>
  <c r="H119" i="1"/>
  <c r="N187" i="1" s="1"/>
  <c r="H135" i="1"/>
  <c r="C286" i="1" s="1"/>
  <c r="J119" i="1"/>
  <c r="G119" i="1"/>
  <c r="M187" i="1" s="1"/>
  <c r="I118" i="1"/>
  <c r="I134" i="1"/>
  <c r="D287" i="1" s="1"/>
  <c r="I150" i="1"/>
  <c r="J147" i="1"/>
  <c r="G145" i="1"/>
  <c r="H128" i="1"/>
  <c r="C289" i="1" s="1"/>
  <c r="H144" i="1"/>
  <c r="J138" i="1"/>
  <c r="G138" i="1"/>
  <c r="I127" i="1"/>
  <c r="D290" i="1" s="1"/>
  <c r="I143" i="1"/>
  <c r="J133" i="1"/>
  <c r="G131" i="1"/>
  <c r="H145" i="1"/>
  <c r="H149" i="1"/>
  <c r="N183" i="1" s="1"/>
  <c r="H137" i="1"/>
  <c r="H141" i="1"/>
  <c r="I124" i="1"/>
  <c r="I144" i="1"/>
  <c r="J135" i="1"/>
  <c r="G133" i="1"/>
  <c r="H126" i="1"/>
  <c r="H142" i="1"/>
  <c r="J134" i="1"/>
  <c r="G134" i="1"/>
  <c r="B287" i="1" s="1"/>
  <c r="I125" i="1"/>
  <c r="I141" i="1"/>
  <c r="J129" i="1"/>
  <c r="G127" i="1"/>
  <c r="B290" i="1" s="1"/>
  <c r="H123" i="1"/>
  <c r="N191" i="1" s="1"/>
  <c r="H139" i="1"/>
  <c r="J128" i="1"/>
  <c r="G128" i="1"/>
  <c r="B289" i="1" s="1"/>
  <c r="I122" i="1"/>
  <c r="I138" i="1"/>
  <c r="J123" i="1"/>
  <c r="G121" i="1"/>
  <c r="M185" i="1" s="1"/>
  <c r="I128" i="1"/>
  <c r="D289" i="1" s="1"/>
  <c r="H132" i="1"/>
  <c r="H148" i="1"/>
  <c r="J146" i="1"/>
  <c r="G146" i="1"/>
  <c r="I131" i="1"/>
  <c r="I147" i="1"/>
  <c r="J141" i="1"/>
  <c r="G139" i="1"/>
  <c r="J140" i="1"/>
  <c r="J148" i="1"/>
  <c r="J124" i="1"/>
  <c r="J132" i="1"/>
  <c r="I132" i="1"/>
  <c r="I148" i="1"/>
  <c r="J143" i="1"/>
  <c r="G141" i="1"/>
  <c r="H130" i="1"/>
  <c r="H146" i="1"/>
  <c r="J142" i="1"/>
  <c r="G142" i="1"/>
  <c r="I129" i="1"/>
  <c r="D288" i="1" s="1"/>
  <c r="I145" i="1"/>
  <c r="J137" i="1"/>
  <c r="G135" i="1"/>
  <c r="B286" i="1" s="1"/>
  <c r="H127" i="1"/>
  <c r="C290" i="1" s="1"/>
  <c r="H143" i="1"/>
  <c r="J136" i="1"/>
  <c r="G136" i="1"/>
  <c r="I126" i="1"/>
  <c r="I142" i="1"/>
  <c r="J131" i="1"/>
  <c r="G129" i="1"/>
  <c r="B288" i="1" s="1"/>
  <c r="H120" i="1"/>
  <c r="N188" i="1" s="1"/>
  <c r="H136" i="1"/>
  <c r="J122" i="1"/>
  <c r="G122" i="1"/>
  <c r="M190" i="1" s="1"/>
  <c r="I119" i="1"/>
  <c r="I135" i="1"/>
  <c r="D286" i="1" s="1"/>
  <c r="J118" i="1"/>
  <c r="J149" i="1"/>
  <c r="B295" i="1" l="1"/>
  <c r="B291" i="1"/>
  <c r="C284" i="1"/>
  <c r="C296" i="1"/>
  <c r="C311" i="1" s="1"/>
  <c r="C314" i="1" s="1"/>
  <c r="C297" i="1"/>
  <c r="C285" i="1"/>
  <c r="C291" i="1"/>
  <c r="C295" i="1"/>
  <c r="B296" i="1"/>
  <c r="B284" i="1"/>
  <c r="D285" i="1"/>
  <c r="D297" i="1"/>
  <c r="D291" i="1"/>
  <c r="D295" i="1"/>
  <c r="D296" i="1"/>
  <c r="D284" i="1"/>
  <c r="B285" i="1"/>
  <c r="B297" i="1"/>
  <c r="N155" i="1"/>
  <c r="N142" i="1"/>
  <c r="N140" i="1"/>
  <c r="N164" i="1"/>
  <c r="N126" i="1"/>
  <c r="N177" i="1"/>
  <c r="N181" i="1"/>
  <c r="N127" i="1"/>
  <c r="N180" i="1"/>
  <c r="N120" i="1"/>
  <c r="N172" i="1"/>
  <c r="N154" i="1"/>
  <c r="N141" i="1"/>
  <c r="N157" i="1"/>
  <c r="N147" i="1"/>
  <c r="M167" i="1"/>
  <c r="M148" i="1"/>
  <c r="M143" i="1"/>
  <c r="M139" i="1"/>
  <c r="M165" i="1"/>
  <c r="M130" i="1"/>
  <c r="M163" i="1"/>
  <c r="M121" i="1"/>
  <c r="M173" i="1"/>
  <c r="N151" i="1"/>
  <c r="N159" i="1"/>
  <c r="N133" i="1"/>
  <c r="N137" i="1"/>
  <c r="N119" i="1"/>
  <c r="N179" i="1"/>
  <c r="N135" i="1"/>
  <c r="N168" i="1"/>
  <c r="N139" i="1"/>
  <c r="N165" i="1"/>
  <c r="N143" i="1"/>
  <c r="N158" i="1"/>
  <c r="N136" i="1"/>
  <c r="M174" i="1"/>
  <c r="M129" i="1"/>
  <c r="N166" i="1"/>
  <c r="N145" i="1"/>
  <c r="N149" i="1"/>
  <c r="N162" i="1"/>
  <c r="N131" i="1"/>
  <c r="N125" i="1"/>
  <c r="N167" i="1"/>
  <c r="N148" i="1"/>
  <c r="M134" i="1"/>
  <c r="M161" i="1"/>
  <c r="M169" i="1"/>
  <c r="M146" i="1"/>
  <c r="M156" i="1"/>
  <c r="M158" i="1"/>
  <c r="M136" i="1"/>
  <c r="M119" i="1"/>
  <c r="M179" i="1"/>
  <c r="M117" i="1"/>
  <c r="M123" i="1"/>
  <c r="M152" i="1"/>
  <c r="N129" i="1"/>
  <c r="N174" i="1"/>
  <c r="M155" i="1"/>
  <c r="M142" i="1"/>
  <c r="N134" i="1"/>
  <c r="N161" i="1"/>
  <c r="N169" i="1"/>
  <c r="M151" i="1"/>
  <c r="M159" i="1"/>
  <c r="M133" i="1"/>
  <c r="M137" i="1"/>
  <c r="M147" i="1"/>
  <c r="M157" i="1"/>
  <c r="M172" i="1"/>
  <c r="M120" i="1"/>
  <c r="N121" i="1"/>
  <c r="N173" i="1"/>
  <c r="N122" i="1"/>
  <c r="N153" i="1"/>
  <c r="M154" i="1"/>
  <c r="M141" i="1"/>
  <c r="N171" i="1"/>
  <c r="N128" i="1"/>
  <c r="N175" i="1"/>
  <c r="N118" i="1"/>
  <c r="N178" i="1"/>
  <c r="N146" i="1"/>
  <c r="N156" i="1"/>
  <c r="M140" i="1"/>
  <c r="M164" i="1"/>
  <c r="M125" i="1"/>
  <c r="M131" i="1"/>
  <c r="M162" i="1"/>
  <c r="M180" i="1"/>
  <c r="M127" i="1"/>
  <c r="N117" i="1"/>
  <c r="N123" i="1"/>
  <c r="N152" i="1"/>
  <c r="M118" i="1"/>
  <c r="M178" i="1"/>
  <c r="M135" i="1"/>
  <c r="M168" i="1"/>
  <c r="M145" i="1"/>
  <c r="M149" i="1"/>
  <c r="M166" i="1"/>
  <c r="N130" i="1"/>
  <c r="N163" i="1"/>
  <c r="M153" i="1"/>
  <c r="M122" i="1"/>
  <c r="M126" i="1"/>
  <c r="M177" i="1"/>
  <c r="M181" i="1"/>
  <c r="B166" i="1" a="1"/>
  <c r="C300" i="1" l="1"/>
  <c r="B300" i="1"/>
  <c r="D299" i="1"/>
  <c r="D311" i="1"/>
  <c r="D314" i="1" s="1"/>
  <c r="B311" i="1"/>
  <c r="B314" i="1" s="1"/>
  <c r="B299" i="1"/>
  <c r="D300" i="1"/>
  <c r="C299" i="1"/>
  <c r="E167" i="1"/>
  <c r="E202" i="1" s="1"/>
  <c r="D197" i="1"/>
  <c r="D181" i="1"/>
  <c r="C194" i="1"/>
  <c r="B184" i="1"/>
  <c r="C198" i="1"/>
  <c r="B186" i="1"/>
  <c r="C179" i="1"/>
  <c r="B191" i="1"/>
  <c r="B175" i="1"/>
  <c r="E192" i="1"/>
  <c r="E227" i="1" s="1"/>
  <c r="E176" i="1"/>
  <c r="E211" i="1" s="1"/>
  <c r="D194" i="1"/>
  <c r="D178" i="1"/>
  <c r="C188" i="1"/>
  <c r="B174" i="1"/>
  <c r="E189" i="1"/>
  <c r="E224" i="1" s="1"/>
  <c r="E173" i="1"/>
  <c r="E208" i="1" s="1"/>
  <c r="D195" i="1"/>
  <c r="D179" i="1"/>
  <c r="C190" i="1"/>
  <c r="B176" i="1"/>
  <c r="C192" i="1"/>
  <c r="B180" i="1"/>
  <c r="C175" i="1"/>
  <c r="B189" i="1"/>
  <c r="B173" i="1"/>
  <c r="E174" i="1"/>
  <c r="E209" i="1" s="1"/>
  <c r="D192" i="1"/>
  <c r="D176" i="1"/>
  <c r="C182" i="1"/>
  <c r="B170" i="1"/>
  <c r="E187" i="1"/>
  <c r="E222" i="1" s="1"/>
  <c r="E171" i="1"/>
  <c r="E206" i="1" s="1"/>
  <c r="E190" i="1"/>
  <c r="E225" i="1" s="1"/>
  <c r="D193" i="1"/>
  <c r="D177" i="1"/>
  <c r="C184" i="1"/>
  <c r="C197" i="1"/>
  <c r="C186" i="1"/>
  <c r="B172" i="1"/>
  <c r="C173" i="1"/>
  <c r="B187" i="1"/>
  <c r="B171" i="1"/>
  <c r="E188" i="1"/>
  <c r="E223" i="1" s="1"/>
  <c r="E172" i="1"/>
  <c r="E207" i="1" s="1"/>
  <c r="D190" i="1"/>
  <c r="D174" i="1"/>
  <c r="D209" i="1" s="1"/>
  <c r="C176" i="1"/>
  <c r="B168" i="1"/>
  <c r="E185" i="1"/>
  <c r="E220" i="1" s="1"/>
  <c r="E169" i="1"/>
  <c r="E204" i="1" s="1"/>
  <c r="D191" i="1"/>
  <c r="D175" i="1"/>
  <c r="C178" i="1"/>
  <c r="C193" i="1"/>
  <c r="C180" i="1"/>
  <c r="C195" i="1"/>
  <c r="B185" i="1"/>
  <c r="B169" i="1"/>
  <c r="E186" i="1"/>
  <c r="E221" i="1" s="1"/>
  <c r="E170" i="1"/>
  <c r="E205" i="1" s="1"/>
  <c r="D188" i="1"/>
  <c r="D172" i="1"/>
  <c r="C168" i="1"/>
  <c r="B166" i="1"/>
  <c r="E183" i="1"/>
  <c r="E218" i="1" s="1"/>
  <c r="C171" i="1"/>
  <c r="D189" i="1"/>
  <c r="D173" i="1"/>
  <c r="C172" i="1"/>
  <c r="C189" i="1"/>
  <c r="C174" i="1"/>
  <c r="C191" i="1"/>
  <c r="C167" i="1"/>
  <c r="B183" i="1"/>
  <c r="B167" i="1"/>
  <c r="E184" i="1"/>
  <c r="E219" i="1" s="1"/>
  <c r="E168" i="1"/>
  <c r="E203" i="1" s="1"/>
  <c r="D186" i="1"/>
  <c r="D170" i="1"/>
  <c r="B196" i="1"/>
  <c r="E197" i="1"/>
  <c r="E232" i="1" s="1"/>
  <c r="E181" i="1"/>
  <c r="E216" i="1" s="1"/>
  <c r="D167" i="1"/>
  <c r="C181" i="1"/>
  <c r="D196" i="1"/>
  <c r="E191" i="1"/>
  <c r="E226" i="1" s="1"/>
  <c r="D187" i="1"/>
  <c r="D171" i="1"/>
  <c r="D206" i="1" s="1"/>
  <c r="C166" i="1"/>
  <c r="C183" i="1"/>
  <c r="C170" i="1"/>
  <c r="C187" i="1"/>
  <c r="B197" i="1"/>
  <c r="B181" i="1"/>
  <c r="E198" i="1"/>
  <c r="E233" i="1" s="1"/>
  <c r="E182" i="1"/>
  <c r="E217" i="1" s="1"/>
  <c r="E166" i="1"/>
  <c r="E201" i="1" s="1"/>
  <c r="D184" i="1"/>
  <c r="D168" i="1"/>
  <c r="B188" i="1"/>
  <c r="E195" i="1"/>
  <c r="E230" i="1" s="1"/>
  <c r="E179" i="1"/>
  <c r="E214" i="1" s="1"/>
  <c r="B190" i="1"/>
  <c r="B193" i="1"/>
  <c r="E178" i="1"/>
  <c r="E213" i="1" s="1"/>
  <c r="C196" i="1"/>
  <c r="E175" i="1"/>
  <c r="E210" i="1" s="1"/>
  <c r="D185" i="1"/>
  <c r="D169" i="1"/>
  <c r="B194" i="1"/>
  <c r="C177" i="1"/>
  <c r="B198" i="1"/>
  <c r="C185" i="1"/>
  <c r="C220" i="1" s="1"/>
  <c r="B195" i="1"/>
  <c r="B179" i="1"/>
  <c r="E196" i="1"/>
  <c r="E231" i="1" s="1"/>
  <c r="E180" i="1"/>
  <c r="E215" i="1" s="1"/>
  <c r="D198" i="1"/>
  <c r="D182" i="1"/>
  <c r="D166" i="1"/>
  <c r="B182" i="1"/>
  <c r="E193" i="1"/>
  <c r="E228" i="1" s="1"/>
  <c r="E177" i="1"/>
  <c r="E212" i="1" s="1"/>
  <c r="D183" i="1"/>
  <c r="C169" i="1"/>
  <c r="B192" i="1"/>
  <c r="B177" i="1"/>
  <c r="E194" i="1"/>
  <c r="E229" i="1" s="1"/>
  <c r="D180" i="1"/>
  <c r="B178" i="1"/>
  <c r="C208" i="1" l="1"/>
  <c r="D225" i="1"/>
  <c r="C227" i="1"/>
  <c r="H202" i="1" s="1"/>
  <c r="D211" i="1"/>
  <c r="B211" i="1"/>
  <c r="G252" i="1" s="1"/>
  <c r="C204" i="1"/>
  <c r="H269" i="1" s="1"/>
  <c r="D222" i="1"/>
  <c r="B303" i="1"/>
  <c r="D204" i="1"/>
  <c r="C303" i="1"/>
  <c r="B204" i="1"/>
  <c r="G269" i="1" s="1"/>
  <c r="D303" i="1"/>
  <c r="D208" i="1"/>
  <c r="B209" i="1"/>
  <c r="G235" i="1" s="1"/>
  <c r="B229" i="1"/>
  <c r="G264" i="1" s="1"/>
  <c r="D221" i="1"/>
  <c r="D207" i="1"/>
  <c r="D219" i="1"/>
  <c r="C206" i="1"/>
  <c r="H275" i="1" s="1"/>
  <c r="B217" i="1"/>
  <c r="G229" i="1" s="1"/>
  <c r="C224" i="1"/>
  <c r="H214" i="1" s="1"/>
  <c r="C222" i="1"/>
  <c r="H205" i="1" s="1"/>
  <c r="D233" i="1"/>
  <c r="B202" i="1"/>
  <c r="G271" i="1" s="1"/>
  <c r="C202" i="1"/>
  <c r="H271" i="1" s="1"/>
  <c r="B222" i="1"/>
  <c r="G257" i="1" s="1"/>
  <c r="D202" i="1"/>
  <c r="D224" i="1"/>
  <c r="B224" i="1"/>
  <c r="G214" i="1" s="1"/>
  <c r="B220" i="1"/>
  <c r="H225" i="1"/>
  <c r="H238" i="1"/>
  <c r="B232" i="1"/>
  <c r="G267" i="1" s="1"/>
  <c r="D231" i="1"/>
  <c r="C207" i="1"/>
  <c r="H276" i="1" s="1"/>
  <c r="C217" i="1"/>
  <c r="C205" i="1"/>
  <c r="H274" i="1" s="1"/>
  <c r="B206" i="1"/>
  <c r="G275" i="1" s="1"/>
  <c r="C231" i="1"/>
  <c r="B208" i="1"/>
  <c r="D217" i="1"/>
  <c r="C209" i="1"/>
  <c r="B233" i="1"/>
  <c r="G268" i="1" s="1"/>
  <c r="C211" i="1"/>
  <c r="D223" i="1"/>
  <c r="C213" i="1"/>
  <c r="C223" i="1"/>
  <c r="B221" i="1"/>
  <c r="B223" i="1"/>
  <c r="D216" i="1"/>
  <c r="B214" i="1"/>
  <c r="D215" i="1"/>
  <c r="C201" i="1"/>
  <c r="B227" i="1"/>
  <c r="B216" i="1"/>
  <c r="C228" i="1"/>
  <c r="C221" i="1"/>
  <c r="B205" i="1"/>
  <c r="G274" i="1" s="1"/>
  <c r="B215" i="1"/>
  <c r="C214" i="1"/>
  <c r="C232" i="1"/>
  <c r="H267" i="1" s="1"/>
  <c r="D218" i="1"/>
  <c r="D220" i="1"/>
  <c r="C216" i="1"/>
  <c r="D210" i="1"/>
  <c r="C219" i="1"/>
  <c r="D213" i="1"/>
  <c r="C233" i="1"/>
  <c r="H268" i="1" s="1"/>
  <c r="D203" i="1"/>
  <c r="D226" i="1"/>
  <c r="D212" i="1"/>
  <c r="D227" i="1"/>
  <c r="C225" i="1"/>
  <c r="D229" i="1"/>
  <c r="B219" i="1"/>
  <c r="B213" i="1"/>
  <c r="B230" i="1"/>
  <c r="C218" i="1"/>
  <c r="B218" i="1"/>
  <c r="D228" i="1"/>
  <c r="D214" i="1"/>
  <c r="C229" i="1"/>
  <c r="D230" i="1"/>
  <c r="B228" i="1"/>
  <c r="B231" i="1"/>
  <c r="C226" i="1"/>
  <c r="B201" i="1"/>
  <c r="C230" i="1"/>
  <c r="B203" i="1"/>
  <c r="G272" i="1" s="1"/>
  <c r="B210" i="1"/>
  <c r="D232" i="1"/>
  <c r="D201" i="1"/>
  <c r="B212" i="1"/>
  <c r="C212" i="1"/>
  <c r="B225" i="1"/>
  <c r="D205" i="1"/>
  <c r="C203" i="1"/>
  <c r="H272" i="1" s="1"/>
  <c r="C215" i="1"/>
  <c r="B207" i="1"/>
  <c r="G276" i="1" s="1"/>
  <c r="C210" i="1"/>
  <c r="B226" i="1"/>
  <c r="H262" i="1" l="1"/>
  <c r="G219" i="1"/>
  <c r="G221" i="1"/>
  <c r="G217" i="1"/>
  <c r="B317" i="1"/>
  <c r="A320" i="1" s="1"/>
  <c r="G243" i="1"/>
  <c r="G211" i="1"/>
  <c r="G233" i="1"/>
  <c r="G250" i="1"/>
  <c r="G205" i="1"/>
  <c r="H257" i="1"/>
  <c r="H247" i="1"/>
  <c r="G247" i="1"/>
  <c r="H212" i="1"/>
  <c r="H255" i="1"/>
  <c r="H259" i="1"/>
  <c r="H230" i="1"/>
  <c r="H240" i="1"/>
  <c r="G249" i="1"/>
  <c r="G223" i="1"/>
  <c r="G227" i="1"/>
  <c r="H210" i="1"/>
  <c r="H265" i="1"/>
  <c r="H261" i="1"/>
  <c r="G202" i="1"/>
  <c r="G262" i="1"/>
  <c r="H231" i="1"/>
  <c r="H241" i="1"/>
  <c r="G225" i="1"/>
  <c r="G238" i="1"/>
  <c r="G210" i="1"/>
  <c r="G265" i="1"/>
  <c r="G261" i="1"/>
  <c r="G212" i="1"/>
  <c r="G255" i="1"/>
  <c r="G259" i="1"/>
  <c r="H245" i="1"/>
  <c r="H253" i="1"/>
  <c r="H218" i="1"/>
  <c r="G203" i="1"/>
  <c r="G263" i="1"/>
  <c r="G231" i="1"/>
  <c r="G241" i="1"/>
  <c r="H220" i="1"/>
  <c r="H242" i="1"/>
  <c r="H219" i="1"/>
  <c r="H252" i="1"/>
  <c r="H233" i="1"/>
  <c r="H229" i="1"/>
  <c r="H250" i="1"/>
  <c r="G215" i="1"/>
  <c r="G209" i="1"/>
  <c r="G246" i="1"/>
  <c r="H258" i="1"/>
  <c r="H213" i="1"/>
  <c r="G256" i="1"/>
  <c r="G204" i="1"/>
  <c r="H201" i="1"/>
  <c r="H207" i="1"/>
  <c r="H236" i="1"/>
  <c r="G239" i="1"/>
  <c r="G226" i="1"/>
  <c r="H203" i="1"/>
  <c r="H263" i="1"/>
  <c r="G206" i="1"/>
  <c r="G237" i="1"/>
  <c r="G201" i="1"/>
  <c r="G207" i="1"/>
  <c r="G236" i="1"/>
  <c r="G230" i="1"/>
  <c r="G240" i="1"/>
  <c r="H251" i="1"/>
  <c r="H232" i="1"/>
  <c r="G251" i="1"/>
  <c r="G232" i="1"/>
  <c r="G248" i="1"/>
  <c r="G224" i="1"/>
  <c r="G220" i="1"/>
  <c r="G242" i="1"/>
  <c r="H239" i="1"/>
  <c r="H226" i="1"/>
  <c r="G245" i="1"/>
  <c r="G253" i="1"/>
  <c r="G218" i="1"/>
  <c r="H211" i="1"/>
  <c r="H264" i="1"/>
  <c r="H248" i="1"/>
  <c r="H224" i="1"/>
  <c r="H235" i="1"/>
  <c r="H243" i="1"/>
  <c r="H217" i="1"/>
  <c r="H221" i="1"/>
  <c r="H256" i="1"/>
  <c r="H204" i="1"/>
  <c r="H249" i="1"/>
  <c r="H223" i="1"/>
  <c r="H227" i="1"/>
  <c r="H215" i="1"/>
  <c r="H209" i="1"/>
  <c r="H246" i="1"/>
  <c r="H206" i="1"/>
  <c r="H237" i="1"/>
  <c r="G258" i="1"/>
  <c r="G213" i="1"/>
</calcChain>
</file>

<file path=xl/sharedStrings.xml><?xml version="1.0" encoding="utf-8"?>
<sst xmlns="http://schemas.openxmlformats.org/spreadsheetml/2006/main" count="624" uniqueCount="86">
  <si>
    <t>x</t>
  </si>
  <si>
    <t>y</t>
  </si>
  <si>
    <t>z</t>
  </si>
  <si>
    <t>a</t>
  </si>
  <si>
    <t>h</t>
  </si>
  <si>
    <t>e</t>
  </si>
  <si>
    <t>b</t>
  </si>
  <si>
    <t>c</t>
  </si>
  <si>
    <t>d</t>
  </si>
  <si>
    <t>f</t>
  </si>
  <si>
    <t>g</t>
  </si>
  <si>
    <t>I</t>
  </si>
  <si>
    <t>j</t>
  </si>
  <si>
    <t>k</t>
  </si>
  <si>
    <t>l</t>
  </si>
  <si>
    <t>m</t>
  </si>
  <si>
    <t>r</t>
  </si>
  <si>
    <t>q</t>
  </si>
  <si>
    <r>
      <t>VRP in cylindrical (r,</t>
    </r>
    <r>
      <rPr>
        <sz val="10"/>
        <rFont val="Symbol"/>
        <family val="1"/>
        <charset val="2"/>
      </rPr>
      <t>q,</t>
    </r>
    <r>
      <rPr>
        <sz val="10"/>
        <rFont val="Arial"/>
        <family val="2"/>
      </rPr>
      <t>z) coordinates:</t>
    </r>
  </si>
  <si>
    <t>VRP in rectangular (x,y,z) coordinates</t>
  </si>
  <si>
    <t>Location of the VRP</t>
  </si>
  <si>
    <t>n</t>
  </si>
  <si>
    <t>o</t>
  </si>
  <si>
    <t>p</t>
  </si>
  <si>
    <t>s</t>
  </si>
  <si>
    <t>t</t>
  </si>
  <si>
    <t>u</t>
  </si>
  <si>
    <t>v</t>
  </si>
  <si>
    <t>w</t>
  </si>
  <si>
    <t>i</t>
  </si>
  <si>
    <t>aa</t>
  </si>
  <si>
    <t>ab</t>
  </si>
  <si>
    <t>ac</t>
  </si>
  <si>
    <t>Coordinates to Generate Aerial View</t>
  </si>
  <si>
    <t>ad</t>
  </si>
  <si>
    <t>Test Shape specified in (x, y, z) coordinates</t>
  </si>
  <si>
    <t>Fill Your Name In Here (Cell A1)!</t>
  </si>
  <si>
    <t>ae</t>
  </si>
  <si>
    <t>af</t>
  </si>
  <si>
    <t>ag</t>
  </si>
  <si>
    <t>Template for Comp 4560 Laboratory Assignment 6 (201330)</t>
  </si>
  <si>
    <t>Asgn6201330Studenttemplate (version 1).xlsb</t>
  </si>
  <si>
    <t>Asgn6201630Studenttemplate.xlsm</t>
  </si>
  <si>
    <t>Daniel Lin 4C</t>
  </si>
  <si>
    <t>Lin.Daniel.SETC.xlsm</t>
  </si>
  <si>
    <t>Normalize</t>
  </si>
  <si>
    <t>Step 4:</t>
  </si>
  <si>
    <t>Step 3:</t>
  </si>
  <si>
    <t>Step 2:</t>
  </si>
  <si>
    <t>up:</t>
  </si>
  <si>
    <t>n hat</t>
  </si>
  <si>
    <t>n vector</t>
  </si>
  <si>
    <t>vp vector</t>
  </si>
  <si>
    <t>vp hat</t>
  </si>
  <si>
    <t>Step 5:</t>
  </si>
  <si>
    <t>u hat</t>
  </si>
  <si>
    <t>Step 6:</t>
  </si>
  <si>
    <t>T-r</t>
  </si>
  <si>
    <t>Mt</t>
  </si>
  <si>
    <t>M</t>
  </si>
  <si>
    <t>M dot Mt</t>
  </si>
  <si>
    <t>A</t>
  </si>
  <si>
    <t>Step 7:</t>
  </si>
  <si>
    <t>Xuvn</t>
  </si>
  <si>
    <t>Step 8:</t>
  </si>
  <si>
    <t>Step 9:</t>
  </si>
  <si>
    <t>Eye</t>
  </si>
  <si>
    <t>Pu</t>
  </si>
  <si>
    <t>Pv</t>
  </si>
  <si>
    <t>Pn</t>
  </si>
  <si>
    <t>Perspective Transformation</t>
  </si>
  <si>
    <t>n*h</t>
  </si>
  <si>
    <t>v*h</t>
  </si>
  <si>
    <t>u*h</t>
  </si>
  <si>
    <t>Step 10:</t>
  </si>
  <si>
    <t>Front face</t>
  </si>
  <si>
    <t>Consecutive Edge Vectors</t>
  </si>
  <si>
    <t>Consecutive Vertices</t>
  </si>
  <si>
    <t>q-r</t>
  </si>
  <si>
    <t>l-q</t>
  </si>
  <si>
    <t>En</t>
  </si>
  <si>
    <t>q - En</t>
  </si>
  <si>
    <t>qr X lq</t>
  </si>
  <si>
    <t>v dot n</t>
  </si>
  <si>
    <t>When the dot product is negative, we cannot see the front of the object. When the dot product is positive, we are able to see the front of the object.</t>
  </si>
  <si>
    <t>Daniel Lin 4C A00906506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</si>
</sst>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b/>
      <sz val="12"/>
      <color indexed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4"/>
      <color indexed="10"/>
      <name val="Arial"/>
      <family val="2"/>
    </font>
    <font>
      <sz val="10"/>
      <name val="Arial"/>
      <family val="2"/>
    </font>
    <font>
      <sz val="10"/>
      <color indexed="9"/>
      <name val="Arial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color indexed="9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2" fillId="3" borderId="0" applyNumberFormat="0" applyBorder="0" applyAlignment="0" applyProtection="0"/>
    <xf numFmtId="0" fontId="13" fillId="4" borderId="19" applyNumberFormat="0" applyAlignment="0" applyProtection="0"/>
  </cellStyleXfs>
  <cellXfs count="57">
    <xf numFmtId="0" fontId="0" fillId="0" borderId="0" xfId="0"/>
    <xf numFmtId="0" fontId="3" fillId="0" borderId="0" xfId="0" applyFont="1"/>
    <xf numFmtId="0" fontId="2" fillId="0" borderId="0" xfId="0" applyFont="1"/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1" xfId="0" applyFont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2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4" fillId="0" borderId="1" xfId="0" applyFont="1" applyBorder="1"/>
    <xf numFmtId="0" fontId="4" fillId="0" borderId="10" xfId="0" applyFont="1" applyBorder="1" applyAlignment="1">
      <alignment horizontal="right"/>
    </xf>
    <xf numFmtId="0" fontId="6" fillId="0" borderId="5" xfId="0" applyFont="1" applyBorder="1"/>
    <xf numFmtId="0" fontId="0" fillId="0" borderId="10" xfId="0" applyBorder="1"/>
    <xf numFmtId="0" fontId="0" fillId="0" borderId="2" xfId="0" applyFill="1" applyBorder="1" applyAlignment="1">
      <alignment horizontal="center"/>
    </xf>
    <xf numFmtId="0" fontId="7" fillId="0" borderId="9" xfId="0" applyFont="1" applyFill="1" applyBorder="1" applyAlignment="1">
      <alignment horizontal="right"/>
    </xf>
    <xf numFmtId="0" fontId="7" fillId="0" borderId="5" xfId="0" applyFont="1" applyFill="1" applyBorder="1" applyAlignment="1">
      <alignment horizontal="right"/>
    </xf>
    <xf numFmtId="0" fontId="7" fillId="0" borderId="6" xfId="0" applyFont="1" applyFill="1" applyBorder="1" applyAlignment="1">
      <alignment horizontal="center"/>
    </xf>
    <xf numFmtId="0" fontId="1" fillId="2" borderId="0" xfId="0" applyFont="1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9" fillId="0" borderId="0" xfId="0" applyFont="1"/>
    <xf numFmtId="0" fontId="10" fillId="0" borderId="2" xfId="0" applyFont="1" applyFill="1" applyBorder="1" applyAlignment="1">
      <alignment horizontal="center"/>
    </xf>
    <xf numFmtId="0" fontId="4" fillId="0" borderId="0" xfId="0" applyFont="1"/>
    <xf numFmtId="0" fontId="0" fillId="0" borderId="14" xfId="0" applyFill="1" applyBorder="1"/>
    <xf numFmtId="0" fontId="0" fillId="0" borderId="16" xfId="0" applyFill="1" applyBorder="1"/>
    <xf numFmtId="0" fontId="0" fillId="0" borderId="17" xfId="0" applyBorder="1"/>
    <xf numFmtId="0" fontId="0" fillId="0" borderId="18" xfId="0" applyBorder="1"/>
    <xf numFmtId="22" fontId="11" fillId="0" borderId="0" xfId="0" applyNumberFormat="1" applyFont="1"/>
    <xf numFmtId="0" fontId="11" fillId="0" borderId="0" xfId="0" applyFont="1"/>
    <xf numFmtId="0" fontId="13" fillId="4" borderId="19" xfId="2" applyAlignment="1">
      <alignment horizontal="center"/>
    </xf>
    <xf numFmtId="0" fontId="12" fillId="3" borderId="0" xfId="1" applyBorder="1" applyAlignment="1">
      <alignment horizontal="left"/>
    </xf>
    <xf numFmtId="0" fontId="12" fillId="3" borderId="0" xfId="1" applyAlignment="1">
      <alignment horizontal="left"/>
    </xf>
    <xf numFmtId="0" fontId="1" fillId="0" borderId="0" xfId="0" applyFont="1"/>
    <xf numFmtId="0" fontId="12" fillId="3" borderId="0" xfId="1"/>
    <xf numFmtId="22" fontId="14" fillId="0" borderId="0" xfId="0" applyNumberFormat="1" applyFont="1"/>
    <xf numFmtId="0" fontId="14" fillId="0" borderId="0" xfId="0" applyFont="1"/>
    <xf numFmtId="0" fontId="13" fillId="4" borderId="19" xfId="2"/>
    <xf numFmtId="0" fontId="12" fillId="3" borderId="0" xfId="1" applyBorder="1"/>
  </cellXfs>
  <cellStyles count="3">
    <cellStyle name="Good" xfId="1" builtinId="26"/>
    <cellStyle name="Input" xfId="2" builtinId="20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0F-40E1-A793-32144CCD2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06448"/>
        <c:axId val="484806840"/>
      </c:scatterChart>
      <c:valAx>
        <c:axId val="484806448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6840"/>
        <c:crosses val="autoZero"/>
        <c:crossBetween val="midCat"/>
      </c:valAx>
      <c:valAx>
        <c:axId val="484806840"/>
        <c:scaling>
          <c:orientation val="minMax"/>
          <c:max val="2"/>
          <c:min val="-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64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EE-4998-972B-CFAA2D05A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07624"/>
        <c:axId val="484808016"/>
      </c:scatterChart>
      <c:valAx>
        <c:axId val="484807624"/>
        <c:scaling>
          <c:orientation val="minMax"/>
          <c:max val="80"/>
          <c:min val="-8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8016"/>
        <c:crosses val="autoZero"/>
        <c:crossBetween val="midCat"/>
        <c:majorUnit val="40"/>
      </c:valAx>
      <c:valAx>
        <c:axId val="484808016"/>
        <c:scaling>
          <c:orientation val="minMax"/>
          <c:max val="40"/>
          <c:min val="-2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807624"/>
        <c:crosses val="autoZero"/>
        <c:crossBetween val="midCat"/>
        <c:majorUnit val="2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CA"/>
              <a:t>Aerial View of the Scene</a:t>
            </a:r>
          </a:p>
        </c:rich>
      </c:tx>
      <c:layout>
        <c:manualLayout>
          <c:xMode val="edge"/>
          <c:yMode val="edge"/>
          <c:x val="0.25454609082955537"/>
          <c:y val="3.6184210526315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909152785134899"/>
          <c:y val="0.30263206503145734"/>
          <c:w val="0.71818394348941605"/>
          <c:h val="0.6315799618047804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Main!$T$5:$T$80</c:f>
              <c:numCache>
                <c:formatCode>General</c:formatCode>
                <c:ptCount val="76"/>
                <c:pt idx="0">
                  <c:v>0</c:v>
                </c:pt>
                <c:pt idx="1">
                  <c:v>0</c:v>
                </c:pt>
                <c:pt idx="2">
                  <c:v>360</c:v>
                </c:pt>
                <c:pt idx="3">
                  <c:v>360</c:v>
                </c:pt>
                <c:pt idx="4">
                  <c:v>900</c:v>
                </c:pt>
                <c:pt idx="5">
                  <c:v>900</c:v>
                </c:pt>
                <c:pt idx="6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360</c:v>
                </c:pt>
                <c:pt idx="11">
                  <c:v>360</c:v>
                </c:pt>
                <c:pt idx="12">
                  <c:v>900</c:v>
                </c:pt>
                <c:pt idx="13">
                  <c:v>900</c:v>
                </c:pt>
                <c:pt idx="14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270</c:v>
                </c:pt>
                <c:pt idx="19">
                  <c:v>270</c:v>
                </c:pt>
                <c:pt idx="20">
                  <c:v>0</c:v>
                </c:pt>
                <c:pt idx="22">
                  <c:v>630</c:v>
                </c:pt>
                <c:pt idx="23">
                  <c:v>900</c:v>
                </c:pt>
                <c:pt idx="24">
                  <c:v>900</c:v>
                </c:pt>
                <c:pt idx="25">
                  <c:v>630</c:v>
                </c:pt>
                <c:pt idx="26">
                  <c:v>630</c:v>
                </c:pt>
                <c:pt idx="28">
                  <c:v>630</c:v>
                </c:pt>
                <c:pt idx="29">
                  <c:v>630</c:v>
                </c:pt>
                <c:pt idx="30">
                  <c:v>270</c:v>
                </c:pt>
                <c:pt idx="31">
                  <c:v>270</c:v>
                </c:pt>
                <c:pt idx="32">
                  <c:v>630</c:v>
                </c:pt>
                <c:pt idx="34">
                  <c:v>0</c:v>
                </c:pt>
                <c:pt idx="35">
                  <c:v>0</c:v>
                </c:pt>
                <c:pt idx="36">
                  <c:v>900</c:v>
                </c:pt>
                <c:pt idx="37">
                  <c:v>900</c:v>
                </c:pt>
                <c:pt idx="38">
                  <c:v>630</c:v>
                </c:pt>
                <c:pt idx="39">
                  <c:v>630</c:v>
                </c:pt>
                <c:pt idx="40">
                  <c:v>270</c:v>
                </c:pt>
                <c:pt idx="41">
                  <c:v>270</c:v>
                </c:pt>
                <c:pt idx="42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900</c:v>
                </c:pt>
                <c:pt idx="47">
                  <c:v>900</c:v>
                </c:pt>
                <c:pt idx="48">
                  <c:v>630</c:v>
                </c:pt>
                <c:pt idx="49">
                  <c:v>630</c:v>
                </c:pt>
                <c:pt idx="50">
                  <c:v>270</c:v>
                </c:pt>
                <c:pt idx="51">
                  <c:v>270</c:v>
                </c:pt>
                <c:pt idx="52">
                  <c:v>0</c:v>
                </c:pt>
                <c:pt idx="54">
                  <c:v>360</c:v>
                </c:pt>
                <c:pt idx="55">
                  <c:v>360</c:v>
                </c:pt>
                <c:pt idx="56">
                  <c:v>900</c:v>
                </c:pt>
                <c:pt idx="57">
                  <c:v>900</c:v>
                </c:pt>
                <c:pt idx="58">
                  <c:v>360</c:v>
                </c:pt>
                <c:pt idx="60">
                  <c:v>0</c:v>
                </c:pt>
                <c:pt idx="61">
                  <c:v>0</c:v>
                </c:pt>
                <c:pt idx="62">
                  <c:v>360</c:v>
                </c:pt>
                <c:pt idx="63">
                  <c:v>360</c:v>
                </c:pt>
                <c:pt idx="64">
                  <c:v>0</c:v>
                </c:pt>
                <c:pt idx="66">
                  <c:v>135</c:v>
                </c:pt>
                <c:pt idx="67">
                  <c:v>135</c:v>
                </c:pt>
                <c:pt idx="68">
                  <c:v>450</c:v>
                </c:pt>
                <c:pt idx="70">
                  <c:v>270</c:v>
                </c:pt>
                <c:pt idx="71">
                  <c:v>270</c:v>
                </c:pt>
                <c:pt idx="73">
                  <c:v>315</c:v>
                </c:pt>
                <c:pt idx="74">
                  <c:v>450</c:v>
                </c:pt>
                <c:pt idx="75">
                  <c:v>585</c:v>
                </c:pt>
              </c:numCache>
            </c:numRef>
          </c:xVal>
          <c:yVal>
            <c:numRef>
              <c:f>Main!$U$5:$U$80</c:f>
              <c:numCache>
                <c:formatCode>General</c:formatCode>
                <c:ptCount val="76"/>
                <c:pt idx="0">
                  <c:v>0</c:v>
                </c:pt>
                <c:pt idx="1">
                  <c:v>700</c:v>
                </c:pt>
                <c:pt idx="2">
                  <c:v>700</c:v>
                </c:pt>
                <c:pt idx="3">
                  <c:v>489.99999999999994</c:v>
                </c:pt>
                <c:pt idx="4">
                  <c:v>489.99999999999994</c:v>
                </c:pt>
                <c:pt idx="5">
                  <c:v>0</c:v>
                </c:pt>
                <c:pt idx="6">
                  <c:v>0</c:v>
                </c:pt>
                <c:pt idx="8">
                  <c:v>140</c:v>
                </c:pt>
                <c:pt idx="9">
                  <c:v>700</c:v>
                </c:pt>
                <c:pt idx="10">
                  <c:v>700</c:v>
                </c:pt>
                <c:pt idx="11">
                  <c:v>489.99999999999994</c:v>
                </c:pt>
                <c:pt idx="12">
                  <c:v>489.99999999999994</c:v>
                </c:pt>
                <c:pt idx="13">
                  <c:v>140</c:v>
                </c:pt>
                <c:pt idx="14">
                  <c:v>140</c:v>
                </c:pt>
                <c:pt idx="16">
                  <c:v>0</c:v>
                </c:pt>
                <c:pt idx="17">
                  <c:v>140</c:v>
                </c:pt>
                <c:pt idx="18">
                  <c:v>140</c:v>
                </c:pt>
                <c:pt idx="19">
                  <c:v>0</c:v>
                </c:pt>
                <c:pt idx="20">
                  <c:v>0</c:v>
                </c:pt>
                <c:pt idx="22">
                  <c:v>140</c:v>
                </c:pt>
                <c:pt idx="23">
                  <c:v>140</c:v>
                </c:pt>
                <c:pt idx="24">
                  <c:v>0</c:v>
                </c:pt>
                <c:pt idx="25">
                  <c:v>0</c:v>
                </c:pt>
                <c:pt idx="26">
                  <c:v>140</c:v>
                </c:pt>
                <c:pt idx="28">
                  <c:v>140</c:v>
                </c:pt>
                <c:pt idx="29">
                  <c:v>0</c:v>
                </c:pt>
                <c:pt idx="30">
                  <c:v>0</c:v>
                </c:pt>
                <c:pt idx="31">
                  <c:v>140</c:v>
                </c:pt>
                <c:pt idx="32">
                  <c:v>140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4">
                  <c:v>140</c:v>
                </c:pt>
                <c:pt idx="45">
                  <c:v>140</c:v>
                </c:pt>
                <c:pt idx="46">
                  <c:v>140</c:v>
                </c:pt>
                <c:pt idx="47">
                  <c:v>140</c:v>
                </c:pt>
                <c:pt idx="48">
                  <c:v>140</c:v>
                </c:pt>
                <c:pt idx="49">
                  <c:v>140</c:v>
                </c:pt>
                <c:pt idx="50">
                  <c:v>140</c:v>
                </c:pt>
                <c:pt idx="51">
                  <c:v>140</c:v>
                </c:pt>
                <c:pt idx="52">
                  <c:v>140</c:v>
                </c:pt>
                <c:pt idx="54">
                  <c:v>489.99999999999994</c:v>
                </c:pt>
                <c:pt idx="55">
                  <c:v>489.99999999999994</c:v>
                </c:pt>
                <c:pt idx="56">
                  <c:v>489.99999999999994</c:v>
                </c:pt>
                <c:pt idx="57">
                  <c:v>489.99999999999994</c:v>
                </c:pt>
                <c:pt idx="58">
                  <c:v>489.99999999999994</c:v>
                </c:pt>
                <c:pt idx="60">
                  <c:v>700</c:v>
                </c:pt>
                <c:pt idx="61">
                  <c:v>700</c:v>
                </c:pt>
                <c:pt idx="62">
                  <c:v>700</c:v>
                </c:pt>
                <c:pt idx="63">
                  <c:v>700</c:v>
                </c:pt>
                <c:pt idx="64">
                  <c:v>700</c:v>
                </c:pt>
                <c:pt idx="66">
                  <c:v>175</c:v>
                </c:pt>
                <c:pt idx="67">
                  <c:v>420</c:v>
                </c:pt>
                <c:pt idx="68">
                  <c:v>420</c:v>
                </c:pt>
                <c:pt idx="70">
                  <c:v>244.99999999999997</c:v>
                </c:pt>
                <c:pt idx="71">
                  <c:v>665</c:v>
                </c:pt>
                <c:pt idx="73">
                  <c:v>140</c:v>
                </c:pt>
                <c:pt idx="74">
                  <c:v>140</c:v>
                </c:pt>
                <c:pt idx="75">
                  <c:v>140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2C-4E64-BEBE-FC6693AA52C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Main!$E$12</c:f>
              <c:numCache>
                <c:formatCode>General</c:formatCode>
                <c:ptCount val="1"/>
                <c:pt idx="0">
                  <c:v>2271.9716589813206</c:v>
                </c:pt>
              </c:numCache>
            </c:numRef>
          </c:xVal>
          <c:yVal>
            <c:numRef>
              <c:f>Main!$D$12</c:f>
              <c:numCache>
                <c:formatCode>General</c:formatCode>
                <c:ptCount val="1"/>
                <c:pt idx="0">
                  <c:v>1458.8162258439775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2C-4E64-BEBE-FC6693AA5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935288"/>
        <c:axId val="484935680"/>
      </c:scatterChart>
      <c:valAx>
        <c:axId val="48493528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y</a:t>
                </a:r>
              </a:p>
            </c:rich>
          </c:tx>
          <c:layout>
            <c:manualLayout>
              <c:xMode val="edge"/>
              <c:yMode val="edge"/>
              <c:x val="0.80606283305495907"/>
              <c:y val="0.21052666114104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935680"/>
        <c:crosses val="autoZero"/>
        <c:crossBetween val="midCat"/>
        <c:majorUnit val="200"/>
      </c:valAx>
      <c:valAx>
        <c:axId val="484935680"/>
        <c:scaling>
          <c:orientation val="maxMin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CA"/>
                  <a:t>x</a:t>
                </a:r>
              </a:p>
            </c:rich>
          </c:tx>
          <c:layout>
            <c:manualLayout>
              <c:xMode val="edge"/>
              <c:yMode val="edge"/>
              <c:x val="6.9697287839020156E-2"/>
              <c:y val="0.700658930791545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84935288"/>
        <c:crosses val="autoZero"/>
        <c:crossBetween val="midCat"/>
        <c:majorUnit val="20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994083998825189"/>
          <c:y val="2.6016253500735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590496689643909E-2"/>
          <c:y val="0.11691095350669818"/>
          <c:w val="0.90399658520193626"/>
          <c:h val="0.8484160756501182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Main!$M$117:$M$192</c:f>
              <c:numCache>
                <c:formatCode>General</c:formatCode>
                <c:ptCount val="76"/>
                <c:pt idx="0">
                  <c:v>-150.4502623788178</c:v>
                </c:pt>
                <c:pt idx="1">
                  <c:v>-717.48995064922747</c:v>
                </c:pt>
                <c:pt idx="2">
                  <c:v>-506.40339062290769</c:v>
                </c:pt>
                <c:pt idx="3">
                  <c:v>-336.29148414178474</c:v>
                </c:pt>
                <c:pt idx="4">
                  <c:v>-19.661644102305047</c:v>
                </c:pt>
                <c:pt idx="5">
                  <c:v>377.26613768698166</c:v>
                </c:pt>
                <c:pt idx="6">
                  <c:v>-150.4502623788178</c:v>
                </c:pt>
                <c:pt idx="8">
                  <c:v>-263.85820003289973</c:v>
                </c:pt>
                <c:pt idx="9">
                  <c:v>-717.48995064922747</c:v>
                </c:pt>
                <c:pt idx="10">
                  <c:v>-506.40339062290769</c:v>
                </c:pt>
                <c:pt idx="11">
                  <c:v>-336.29148414178474</c:v>
                </c:pt>
                <c:pt idx="12">
                  <c:v>-19.661644102305047</c:v>
                </c:pt>
                <c:pt idx="13">
                  <c:v>263.85820003289973</c:v>
                </c:pt>
                <c:pt idx="14">
                  <c:v>-263.85820003289973</c:v>
                </c:pt>
                <c:pt idx="16">
                  <c:v>-150.4502623788178</c:v>
                </c:pt>
                <c:pt idx="17">
                  <c:v>-263.85820003289973</c:v>
                </c:pt>
                <c:pt idx="18">
                  <c:v>-105.54328001315992</c:v>
                </c:pt>
                <c:pt idx="19">
                  <c:v>7.8646576409220188</c:v>
                </c:pt>
                <c:pt idx="20">
                  <c:v>-150.4502623788178</c:v>
                </c:pt>
                <c:pt idx="22">
                  <c:v>105.54328001315986</c:v>
                </c:pt>
                <c:pt idx="23">
                  <c:v>263.85820003289973</c:v>
                </c:pt>
                <c:pt idx="24">
                  <c:v>377.26613768698166</c:v>
                </c:pt>
                <c:pt idx="25">
                  <c:v>218.95121766724179</c:v>
                </c:pt>
                <c:pt idx="26">
                  <c:v>105.54328001315986</c:v>
                </c:pt>
                <c:pt idx="28">
                  <c:v>105.54328001315986</c:v>
                </c:pt>
                <c:pt idx="29">
                  <c:v>218.95121766724179</c:v>
                </c:pt>
                <c:pt idx="30">
                  <c:v>7.8646576409220188</c:v>
                </c:pt>
                <c:pt idx="31">
                  <c:v>-105.54328001315992</c:v>
                </c:pt>
                <c:pt idx="32">
                  <c:v>105.54328001315986</c:v>
                </c:pt>
                <c:pt idx="34">
                  <c:v>-150.4502623788178</c:v>
                </c:pt>
                <c:pt idx="35">
                  <c:v>-150.4502623788178</c:v>
                </c:pt>
                <c:pt idx="36">
                  <c:v>377.26613768698166</c:v>
                </c:pt>
                <c:pt idx="37">
                  <c:v>377.26613768698166</c:v>
                </c:pt>
                <c:pt idx="38">
                  <c:v>218.95121766724179</c:v>
                </c:pt>
                <c:pt idx="39">
                  <c:v>218.95121766724179</c:v>
                </c:pt>
                <c:pt idx="40">
                  <c:v>7.8646576409220188</c:v>
                </c:pt>
                <c:pt idx="41">
                  <c:v>7.8646576409220188</c:v>
                </c:pt>
                <c:pt idx="42">
                  <c:v>-150.4502623788178</c:v>
                </c:pt>
                <c:pt idx="44">
                  <c:v>-263.85820003289973</c:v>
                </c:pt>
                <c:pt idx="45">
                  <c:v>-263.85820003289973</c:v>
                </c:pt>
                <c:pt idx="46">
                  <c:v>263.85820003289973</c:v>
                </c:pt>
                <c:pt idx="47">
                  <c:v>263.85820003289973</c:v>
                </c:pt>
                <c:pt idx="48">
                  <c:v>105.54328001315986</c:v>
                </c:pt>
                <c:pt idx="49">
                  <c:v>105.54328001315986</c:v>
                </c:pt>
                <c:pt idx="50">
                  <c:v>-105.54328001315992</c:v>
                </c:pt>
                <c:pt idx="51">
                  <c:v>-105.54328001315992</c:v>
                </c:pt>
                <c:pt idx="52">
                  <c:v>-263.85820003289973</c:v>
                </c:pt>
                <c:pt idx="54">
                  <c:v>-336.29148414178474</c:v>
                </c:pt>
                <c:pt idx="55">
                  <c:v>-336.29148414178474</c:v>
                </c:pt>
                <c:pt idx="56">
                  <c:v>-19.661644102305047</c:v>
                </c:pt>
                <c:pt idx="57">
                  <c:v>-19.661644102305047</c:v>
                </c:pt>
                <c:pt idx="58">
                  <c:v>-336.29148414178474</c:v>
                </c:pt>
                <c:pt idx="60">
                  <c:v>-717.48995064922747</c:v>
                </c:pt>
                <c:pt idx="61">
                  <c:v>-717.48995064922747</c:v>
                </c:pt>
                <c:pt idx="62">
                  <c:v>-506.40339062290769</c:v>
                </c:pt>
                <c:pt idx="63">
                  <c:v>-506.40339062290769</c:v>
                </c:pt>
                <c:pt idx="64">
                  <c:v>-717.48995064922747</c:v>
                </c:pt>
                <c:pt idx="66">
                  <c:v>-213.05272443655031</c:v>
                </c:pt>
                <c:pt idx="67">
                  <c:v>-411.51661533119369</c:v>
                </c:pt>
                <c:pt idx="68">
                  <c:v>-226.81587530816387</c:v>
                </c:pt>
                <c:pt idx="70">
                  <c:v>-190.59923325372134</c:v>
                </c:pt>
                <c:pt idx="71">
                  <c:v>-530.82304621596711</c:v>
                </c:pt>
                <c:pt idx="73">
                  <c:v>-79.157460009869936</c:v>
                </c:pt>
                <c:pt idx="74">
                  <c:v>0</c:v>
                </c:pt>
                <c:pt idx="75">
                  <c:v>79.157460009869908</c:v>
                </c:pt>
              </c:numCache>
            </c:numRef>
          </c:xVal>
          <c:yVal>
            <c:numRef>
              <c:f>Main!$N$117:$N$192</c:f>
              <c:numCache>
                <c:formatCode>General</c:formatCode>
                <c:ptCount val="76"/>
                <c:pt idx="0">
                  <c:v>-512.64863153224815</c:v>
                </c:pt>
                <c:pt idx="1">
                  <c:v>-878.11391860098195</c:v>
                </c:pt>
                <c:pt idx="2">
                  <c:v>-1137.7756382115256</c:v>
                </c:pt>
                <c:pt idx="3">
                  <c:v>-1028.1360520909054</c:v>
                </c:pt>
                <c:pt idx="4">
                  <c:v>-1417.6286315067209</c:v>
                </c:pt>
                <c:pt idx="5">
                  <c:v>-1161.8029305586074</c:v>
                </c:pt>
                <c:pt idx="6">
                  <c:v>-512.64863153224815</c:v>
                </c:pt>
                <c:pt idx="8">
                  <c:v>-221.61415356232538</c:v>
                </c:pt>
                <c:pt idx="9">
                  <c:v>-513.98638321731244</c:v>
                </c:pt>
                <c:pt idx="10">
                  <c:v>-773.64810282785606</c:v>
                </c:pt>
                <c:pt idx="11">
                  <c:v>-664.00851670723591</c:v>
                </c:pt>
                <c:pt idx="12">
                  <c:v>-1053.5010961230514</c:v>
                </c:pt>
                <c:pt idx="13">
                  <c:v>-870.76845258868457</c:v>
                </c:pt>
                <c:pt idx="14">
                  <c:v>-221.61415356232538</c:v>
                </c:pt>
                <c:pt idx="16">
                  <c:v>579.73397461876039</c:v>
                </c:pt>
                <c:pt idx="17">
                  <c:v>506.64091720501358</c:v>
                </c:pt>
                <c:pt idx="18">
                  <c:v>311.89462749710583</c:v>
                </c:pt>
                <c:pt idx="19">
                  <c:v>384.98768491085264</c:v>
                </c:pt>
                <c:pt idx="20">
                  <c:v>579.73397461876039</c:v>
                </c:pt>
                <c:pt idx="22">
                  <c:v>52.232907886562202</c:v>
                </c:pt>
                <c:pt idx="23">
                  <c:v>-142.51338182134555</c:v>
                </c:pt>
                <c:pt idx="24">
                  <c:v>-69.420324407598741</c:v>
                </c:pt>
                <c:pt idx="25">
                  <c:v>125.32596530030901</c:v>
                </c:pt>
                <c:pt idx="26">
                  <c:v>52.232907886562202</c:v>
                </c:pt>
                <c:pt idx="28">
                  <c:v>780.48797865390088</c:v>
                </c:pt>
                <c:pt idx="29">
                  <c:v>853.5810360676478</c:v>
                </c:pt>
                <c:pt idx="30">
                  <c:v>1113.2427556781915</c:v>
                </c:pt>
                <c:pt idx="31">
                  <c:v>1040.1496982644446</c:v>
                </c:pt>
                <c:pt idx="32">
                  <c:v>780.48797865390088</c:v>
                </c:pt>
                <c:pt idx="34">
                  <c:v>579.73397461876039</c:v>
                </c:pt>
                <c:pt idx="35">
                  <c:v>-512.64863153224815</c:v>
                </c:pt>
                <c:pt idx="36">
                  <c:v>-1161.8029305586074</c:v>
                </c:pt>
                <c:pt idx="37">
                  <c:v>-69.420324407598741</c:v>
                </c:pt>
                <c:pt idx="38">
                  <c:v>125.32596530030901</c:v>
                </c:pt>
                <c:pt idx="39">
                  <c:v>853.5810360676478</c:v>
                </c:pt>
                <c:pt idx="40">
                  <c:v>1113.2427556781915</c:v>
                </c:pt>
                <c:pt idx="41">
                  <c:v>384.98768491085264</c:v>
                </c:pt>
                <c:pt idx="42">
                  <c:v>579.73397461876039</c:v>
                </c:pt>
                <c:pt idx="44">
                  <c:v>506.64091720501358</c:v>
                </c:pt>
                <c:pt idx="45">
                  <c:v>-221.61415356232538</c:v>
                </c:pt>
                <c:pt idx="46">
                  <c:v>-870.76845258868457</c:v>
                </c:pt>
                <c:pt idx="47">
                  <c:v>-142.51338182134555</c:v>
                </c:pt>
                <c:pt idx="48">
                  <c:v>52.232907886562202</c:v>
                </c:pt>
                <c:pt idx="49">
                  <c:v>780.48797865390088</c:v>
                </c:pt>
                <c:pt idx="50">
                  <c:v>1040.1496982644446</c:v>
                </c:pt>
                <c:pt idx="51">
                  <c:v>311.89462749710583</c:v>
                </c:pt>
                <c:pt idx="52">
                  <c:v>506.64091720501358</c:v>
                </c:pt>
                <c:pt idx="54">
                  <c:v>-664.00851670723591</c:v>
                </c:pt>
                <c:pt idx="55">
                  <c:v>-1028.1360520909054</c:v>
                </c:pt>
                <c:pt idx="56">
                  <c:v>-1417.6286315067209</c:v>
                </c:pt>
                <c:pt idx="57">
                  <c:v>-1053.5010961230514</c:v>
                </c:pt>
                <c:pt idx="58">
                  <c:v>-664.00851670723591</c:v>
                </c:pt>
                <c:pt idx="60">
                  <c:v>-513.98638321731244</c:v>
                </c:pt>
                <c:pt idx="61">
                  <c:v>-878.11391860098195</c:v>
                </c:pt>
                <c:pt idx="62">
                  <c:v>-1137.7756382115256</c:v>
                </c:pt>
                <c:pt idx="63">
                  <c:v>-773.64810282785606</c:v>
                </c:pt>
                <c:pt idx="64">
                  <c:v>-513.98638321731244</c:v>
                </c:pt>
                <c:pt idx="66">
                  <c:v>-337.26056276971593</c:v>
                </c:pt>
                <c:pt idx="67">
                  <c:v>-465.17341324377281</c:v>
                </c:pt>
                <c:pt idx="68">
                  <c:v>-692.37741790299856</c:v>
                </c:pt>
                <c:pt idx="70">
                  <c:v>-471.18023633054315</c:v>
                </c:pt>
                <c:pt idx="71">
                  <c:v>-690.45940857178346</c:v>
                </c:pt>
                <c:pt idx="73">
                  <c:v>825.62821562129216</c:v>
                </c:pt>
                <c:pt idx="74">
                  <c:v>-7.9580786405131221E-13</c:v>
                </c:pt>
                <c:pt idx="75">
                  <c:v>84.690622837880255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35-433F-87AD-2DD04675B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6833200"/>
        <c:axId val="779805456"/>
      </c:scatterChart>
      <c:valAx>
        <c:axId val="626833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805456"/>
        <c:crosses val="autoZero"/>
        <c:crossBetween val="midCat"/>
      </c:valAx>
      <c:valAx>
        <c:axId val="77980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6833200"/>
        <c:crosses val="autoZero"/>
        <c:crossBetween val="midCat"/>
      </c:valAx>
      <c:spPr>
        <a:noFill/>
        <a:ln>
          <a:solidFill>
            <a:schemeClr val="accent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1504855643044625"/>
          <c:y val="2.0576131687242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Main!$G$201:$G$276</c:f>
              <c:numCache>
                <c:formatCode>General</c:formatCode>
                <c:ptCount val="76"/>
                <c:pt idx="0">
                  <c:v>-10.130451033783464</c:v>
                </c:pt>
                <c:pt idx="1">
                  <c:v>-49.558444276104346</c:v>
                </c:pt>
                <c:pt idx="2">
                  <c:v>-35.631634478103024</c:v>
                </c:pt>
                <c:pt idx="3">
                  <c:v>-23.477031359202027</c:v>
                </c:pt>
                <c:pt idx="4">
                  <c:v>-1.411858268099639</c:v>
                </c:pt>
                <c:pt idx="5">
                  <c:v>26.591219520090931</c:v>
                </c:pt>
                <c:pt idx="6">
                  <c:v>-10.130451033783464</c:v>
                </c:pt>
                <c:pt idx="8">
                  <c:v>-19.761837267490389</c:v>
                </c:pt>
                <c:pt idx="9">
                  <c:v>-54.96744978942246</c:v>
                </c:pt>
                <c:pt idx="10">
                  <c:v>-39.601347349909545</c:v>
                </c:pt>
                <c:pt idx="11">
                  <c:v>-26.069874501864117</c:v>
                </c:pt>
                <c:pt idx="12">
                  <c:v>-1.5727529844667592</c:v>
                </c:pt>
                <c:pt idx="13">
                  <c:v>20.795496714748623</c:v>
                </c:pt>
                <c:pt idx="14">
                  <c:v>-19.761837267490389</c:v>
                </c:pt>
                <c:pt idx="16">
                  <c:v>-14.22385223387735</c:v>
                </c:pt>
                <c:pt idx="17">
                  <c:v>-25.12314471053131</c:v>
                </c:pt>
                <c:pt idx="18">
                  <c:v>-10.243445795131418</c:v>
                </c:pt>
                <c:pt idx="19">
                  <c:v>0.75780401433551114</c:v>
                </c:pt>
                <c:pt idx="20">
                  <c:v>-14.22385223387735</c:v>
                </c:pt>
                <c:pt idx="22">
                  <c:v>10.514345914161728</c:v>
                </c:pt>
                <c:pt idx="23">
                  <c:v>26.817785993591407</c:v>
                </c:pt>
                <c:pt idx="24">
                  <c:v>38.055209390353177</c:v>
                </c:pt>
                <c:pt idx="25">
                  <c:v>21.650998990672605</c:v>
                </c:pt>
                <c:pt idx="26">
                  <c:v>10.514345914161728</c:v>
                </c:pt>
                <c:pt idx="28">
                  <c:v>14.68180192051107</c:v>
                </c:pt>
                <c:pt idx="29">
                  <c:v>30.144279619483068</c:v>
                </c:pt>
                <c:pt idx="30">
                  <c:v>1.0445945585894998</c:v>
                </c:pt>
                <c:pt idx="31">
                  <c:v>-14.158935414436673</c:v>
                </c:pt>
                <c:pt idx="32">
                  <c:v>14.68180192051107</c:v>
                </c:pt>
                <c:pt idx="34">
                  <c:v>-14.22385223387735</c:v>
                </c:pt>
                <c:pt idx="35">
                  <c:v>-10.130451033783464</c:v>
                </c:pt>
                <c:pt idx="36">
                  <c:v>26.591219520090931</c:v>
                </c:pt>
                <c:pt idx="37">
                  <c:v>38.055209390353177</c:v>
                </c:pt>
                <c:pt idx="38">
                  <c:v>21.650998990672605</c:v>
                </c:pt>
                <c:pt idx="39">
                  <c:v>30.144279619483068</c:v>
                </c:pt>
                <c:pt idx="40">
                  <c:v>1.0445945585894998</c:v>
                </c:pt>
                <c:pt idx="41">
                  <c:v>0.75780401433551114</c:v>
                </c:pt>
                <c:pt idx="42">
                  <c:v>-14.22385223387735</c:v>
                </c:pt>
                <c:pt idx="44">
                  <c:v>-25.12314471053131</c:v>
                </c:pt>
                <c:pt idx="45">
                  <c:v>-19.761837267490389</c:v>
                </c:pt>
                <c:pt idx="46">
                  <c:v>20.795496714748623</c:v>
                </c:pt>
                <c:pt idx="47">
                  <c:v>26.817785993591407</c:v>
                </c:pt>
                <c:pt idx="48">
                  <c:v>10.514345914161728</c:v>
                </c:pt>
                <c:pt idx="49">
                  <c:v>14.68180192051107</c:v>
                </c:pt>
                <c:pt idx="50">
                  <c:v>-14.158935414436673</c:v>
                </c:pt>
                <c:pt idx="51">
                  <c:v>-10.243445795131418</c:v>
                </c:pt>
                <c:pt idx="52">
                  <c:v>-25.12314471053131</c:v>
                </c:pt>
                <c:pt idx="54">
                  <c:v>-26.069874501864117</c:v>
                </c:pt>
                <c:pt idx="55">
                  <c:v>-23.477031359202027</c:v>
                </c:pt>
                <c:pt idx="56">
                  <c:v>-1.411858268099639</c:v>
                </c:pt>
                <c:pt idx="57">
                  <c:v>-1.5727529844667592</c:v>
                </c:pt>
                <c:pt idx="58">
                  <c:v>-26.069874501864117</c:v>
                </c:pt>
                <c:pt idx="60">
                  <c:v>-54.96744978942246</c:v>
                </c:pt>
                <c:pt idx="61">
                  <c:v>-49.558444276104346</c:v>
                </c:pt>
                <c:pt idx="62">
                  <c:v>-35.631634478103024</c:v>
                </c:pt>
                <c:pt idx="63">
                  <c:v>-39.601347349909545</c:v>
                </c:pt>
                <c:pt idx="64">
                  <c:v>-54.96744978942246</c:v>
                </c:pt>
                <c:pt idx="66">
                  <c:v>-16.099287466814474</c:v>
                </c:pt>
                <c:pt idx="67">
                  <c:v>-31.40652644961521</c:v>
                </c:pt>
                <c:pt idx="68">
                  <c:v>-17.622766062180894</c:v>
                </c:pt>
                <c:pt idx="70">
                  <c:v>-14.553159042199079</c:v>
                </c:pt>
                <c:pt idx="71">
                  <c:v>-41.23673159462048</c:v>
                </c:pt>
                <c:pt idx="73">
                  <c:v>-9.7324828626013478</c:v>
                </c:pt>
                <c:pt idx="74">
                  <c:v>0</c:v>
                </c:pt>
                <c:pt idx="75">
                  <c:v>7.8597767913175174</c:v>
                </c:pt>
              </c:numCache>
            </c:numRef>
          </c:xVal>
          <c:yVal>
            <c:numRef>
              <c:f>Main!$H$201:$H$276</c:f>
              <c:numCache>
                <c:formatCode>General</c:formatCode>
                <c:ptCount val="76"/>
                <c:pt idx="0">
                  <c:v>-34.518795628266879</c:v>
                </c:pt>
                <c:pt idx="1">
                  <c:v>-60.653058155979409</c:v>
                </c:pt>
                <c:pt idx="2">
                  <c:v>-80.056347191861718</c:v>
                </c:pt>
                <c:pt idx="3">
                  <c:v>-71.775776297349367</c:v>
                </c:pt>
                <c:pt idx="4">
                  <c:v>-101.79671110275535</c:v>
                </c:pt>
                <c:pt idx="5">
                  <c:v>-81.888496420533471</c:v>
                </c:pt>
                <c:pt idx="6">
                  <c:v>-34.518795628266879</c:v>
                </c:pt>
                <c:pt idx="8">
                  <c:v>-16.597941008940527</c:v>
                </c:pt>
                <c:pt idx="9">
                  <c:v>-39.376887002222006</c:v>
                </c:pt>
                <c:pt idx="10">
                  <c:v>-60.500201645566449</c:v>
                </c:pt>
                <c:pt idx="11">
                  <c:v>-51.475043273555535</c:v>
                </c:pt>
                <c:pt idx="12">
                  <c:v>-84.270521043165644</c:v>
                </c:pt>
                <c:pt idx="13">
                  <c:v>-68.628007364777318</c:v>
                </c:pt>
                <c:pt idx="14">
                  <c:v>-16.597941008940527</c:v>
                </c:pt>
                <c:pt idx="16">
                  <c:v>54.809145956641608</c:v>
                </c:pt>
                <c:pt idx="17">
                  <c:v>48.239596410612968</c:v>
                </c:pt>
                <c:pt idx="18">
                  <c:v>30.270763900467635</c:v>
                </c:pt>
                <c:pt idx="19">
                  <c:v>37.095729581049639</c:v>
                </c:pt>
                <c:pt idx="20">
                  <c:v>54.809145956641608</c:v>
                </c:pt>
                <c:pt idx="22">
                  <c:v>5.2035038285088717</c:v>
                </c:pt>
                <c:pt idx="23">
                  <c:v>-14.484648854692724</c:v>
                </c:pt>
                <c:pt idx="24">
                  <c:v>-7.0024969573848299</c:v>
                </c:pt>
                <c:pt idx="25">
                  <c:v>12.392862561494802</c:v>
                </c:pt>
                <c:pt idx="26">
                  <c:v>5.2035038285088717</c:v>
                </c:pt>
                <c:pt idx="28">
                  <c:v>108.57128850371016</c:v>
                </c:pt>
                <c:pt idx="29">
                  <c:v>117.51743472016734</c:v>
                </c:pt>
                <c:pt idx="30">
                  <c:v>147.86242174354672</c:v>
                </c:pt>
                <c:pt idx="31">
                  <c:v>139.53908195041637</c:v>
                </c:pt>
                <c:pt idx="32">
                  <c:v>108.57128850371016</c:v>
                </c:pt>
                <c:pt idx="34">
                  <c:v>54.809145956641608</c:v>
                </c:pt>
                <c:pt idx="35">
                  <c:v>-34.518795628266879</c:v>
                </c:pt>
                <c:pt idx="36">
                  <c:v>-81.888496420533471</c:v>
                </c:pt>
                <c:pt idx="37">
                  <c:v>-7.0024969573848299</c:v>
                </c:pt>
                <c:pt idx="38">
                  <c:v>12.392862561494802</c:v>
                </c:pt>
                <c:pt idx="39">
                  <c:v>117.51743472016734</c:v>
                </c:pt>
                <c:pt idx="40">
                  <c:v>147.86242174354672</c:v>
                </c:pt>
                <c:pt idx="41">
                  <c:v>37.095729581049639</c:v>
                </c:pt>
                <c:pt idx="42">
                  <c:v>54.809145956641608</c:v>
                </c:pt>
                <c:pt idx="44">
                  <c:v>48.239596410612968</c:v>
                </c:pt>
                <c:pt idx="45">
                  <c:v>-16.597941008940527</c:v>
                </c:pt>
                <c:pt idx="46">
                  <c:v>-68.628007364777318</c:v>
                </c:pt>
                <c:pt idx="47">
                  <c:v>-14.484648854692724</c:v>
                </c:pt>
                <c:pt idx="48">
                  <c:v>5.2035038285088717</c:v>
                </c:pt>
                <c:pt idx="49">
                  <c:v>108.57128850371016</c:v>
                </c:pt>
                <c:pt idx="50">
                  <c:v>139.53908195041637</c:v>
                </c:pt>
                <c:pt idx="51">
                  <c:v>30.270763900467635</c:v>
                </c:pt>
                <c:pt idx="52">
                  <c:v>48.239596410612968</c:v>
                </c:pt>
                <c:pt idx="54">
                  <c:v>-51.475043273555535</c:v>
                </c:pt>
                <c:pt idx="55">
                  <c:v>-71.775776297349367</c:v>
                </c:pt>
                <c:pt idx="56">
                  <c:v>-101.79671110275535</c:v>
                </c:pt>
                <c:pt idx="57">
                  <c:v>-84.270521043165644</c:v>
                </c:pt>
                <c:pt idx="58">
                  <c:v>-51.475043273555535</c:v>
                </c:pt>
                <c:pt idx="60">
                  <c:v>-39.376887002222006</c:v>
                </c:pt>
                <c:pt idx="61">
                  <c:v>-60.653058155979409</c:v>
                </c:pt>
                <c:pt idx="62">
                  <c:v>-80.056347191861718</c:v>
                </c:pt>
                <c:pt idx="63">
                  <c:v>-60.500201645566449</c:v>
                </c:pt>
                <c:pt idx="64">
                  <c:v>-39.376887002222006</c:v>
                </c:pt>
                <c:pt idx="66">
                  <c:v>-25.485028485830515</c:v>
                </c:pt>
                <c:pt idx="67">
                  <c:v>-35.501558290521139</c:v>
                </c:pt>
                <c:pt idx="68">
                  <c:v>-53.795199502079228</c:v>
                </c:pt>
                <c:pt idx="70">
                  <c:v>-35.976854679846731</c:v>
                </c:pt>
                <c:pt idx="71">
                  <c:v>-53.638005190661957</c:v>
                </c:pt>
                <c:pt idx="73">
                  <c:v>101.51175212560436</c:v>
                </c:pt>
                <c:pt idx="74">
                  <c:v>-7.3123351214909532E-14</c:v>
                </c:pt>
                <c:pt idx="75">
                  <c:v>8.4091807865032386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6B-4425-AB3A-B0FA5A3FA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8060336"/>
        <c:axId val="1478068656"/>
      </c:scatterChart>
      <c:valAx>
        <c:axId val="147806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068656"/>
        <c:crosses val="autoZero"/>
        <c:crossBetween val="midCat"/>
      </c:valAx>
      <c:valAx>
        <c:axId val="147806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806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2" name="Text Box 18">
          <a:extLst>
            <a:ext uri="{FF2B5EF4-FFF2-40B4-BE49-F238E27FC236}">
              <a16:creationId xmlns:a16="http://schemas.microsoft.com/office/drawing/2014/main" id="{00000000-0008-0000-0100-000012040000}"/>
            </a:ext>
          </a:extLst>
        </xdr:cNvPr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000000"/>
              </a:solidFill>
              <a:latin typeface="Arial"/>
              <a:cs typeface="Arial"/>
            </a:rPr>
            <a:t>need explanation of visibility:  uvn system is right-handed, therefore, with vertices ccw, calculated normal is outward from face, therefore visibility when angle between v and lofs is greater than 90 deg, cos theta neg, so dot product is negative.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3" name="Text Box 19">
          <a:extLst>
            <a:ext uri="{FF2B5EF4-FFF2-40B4-BE49-F238E27FC236}">
              <a16:creationId xmlns:a16="http://schemas.microsoft.com/office/drawing/2014/main" id="{00000000-0008-0000-0100-000013040000}"/>
            </a:ext>
          </a:extLst>
        </xdr:cNvPr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11: for each face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list of verts ccw: 2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calc of v: 4 marks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lofs: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dot prod: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interp: 1 mark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total 9 each, for </a:t>
          </a:r>
          <a:r>
            <a:rPr lang="en-CA" sz="1000" b="1" i="0" strike="noStrike">
              <a:solidFill>
                <a:srgbClr val="FF0000"/>
              </a:solidFill>
              <a:latin typeface="Arial"/>
              <a:cs typeface="Arial"/>
            </a:rPr>
            <a:t>18 in all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4" name="Text Box 20">
          <a:extLst>
            <a:ext uri="{FF2B5EF4-FFF2-40B4-BE49-F238E27FC236}">
              <a16:creationId xmlns:a16="http://schemas.microsoft.com/office/drawing/2014/main" id="{00000000-0008-0000-0100-000014040000}"/>
            </a:ext>
          </a:extLst>
        </xdr:cNvPr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11, cont'd:  2 marks for explanation of visibility criterion.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6" name="Text Box 22">
          <a:extLst>
            <a:ext uri="{FF2B5EF4-FFF2-40B4-BE49-F238E27FC236}">
              <a16:creationId xmlns:a16="http://schemas.microsoft.com/office/drawing/2014/main" id="{00000000-0008-0000-0100-000016040000}"/>
            </a:ext>
          </a:extLst>
        </xdr:cNvPr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step 13:  nothing to mark -- I must have accidentally deleted the instruction to print out the results, etc. so step 11 is the last step requiring proof of work.</a:t>
          </a: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sp macro="" textlink="">
      <xdr:nvSpPr>
        <xdr:cNvPr id="1047" name="Text Box 23">
          <a:extLst>
            <a:ext uri="{FF2B5EF4-FFF2-40B4-BE49-F238E27FC236}">
              <a16:creationId xmlns:a16="http://schemas.microsoft.com/office/drawing/2014/main" id="{00000000-0008-0000-0100-000017040000}"/>
            </a:ext>
          </a:extLst>
        </xdr:cNvPr>
        <xdr:cNvSpPr txBox="1">
          <a:spLocks noChangeArrowheads="1"/>
        </xdr:cNvSpPr>
      </xdr:nvSpPr>
      <xdr:spPr bwMode="auto">
        <a:xfrm>
          <a:off x="600075" y="6905625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use u*v*n*, -4 marks.</a:t>
          </a:r>
        </a:p>
      </xdr:txBody>
    </xdr:sp>
    <xdr:clientData/>
  </xdr:twoCellAnchor>
  <xdr:twoCellAnchor>
    <xdr:from>
      <xdr:col>6</xdr:col>
      <xdr:colOff>9525</xdr:colOff>
      <xdr:row>22</xdr:row>
      <xdr:rowOff>19050</xdr:rowOff>
    </xdr:from>
    <xdr:to>
      <xdr:col>10</xdr:col>
      <xdr:colOff>47625</xdr:colOff>
      <xdr:row>32</xdr:row>
      <xdr:rowOff>142875</xdr:rowOff>
    </xdr:to>
    <xdr:sp macro="" textlink="">
      <xdr:nvSpPr>
        <xdr:cNvPr id="1048" name="Text Box 24">
          <a:extLst>
            <a:ext uri="{FF2B5EF4-FFF2-40B4-BE49-F238E27FC236}">
              <a16:creationId xmlns:a16="http://schemas.microsoft.com/office/drawing/2014/main" id="{00000000-0008-0000-0100-000018040000}"/>
            </a:ext>
          </a:extLst>
        </xdr:cNvPr>
        <xdr:cNvSpPr txBox="1">
          <a:spLocks noChangeArrowheads="1"/>
        </xdr:cNvSpPr>
      </xdr:nvSpPr>
      <xdr:spPr bwMode="auto">
        <a:xfrm>
          <a:off x="3609975" y="3838575"/>
          <a:ext cx="2438400" cy="1752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4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This is a list of the x, y, z, and h coordinates for the shape under view in this assignment.  The cells with a colored background are adjustable.  All other values are computed by formula from the values in these adjustable cells.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41</xdr:row>
      <xdr:rowOff>0</xdr:rowOff>
    </xdr:from>
    <xdr:to>
      <xdr:col>1</xdr:col>
      <xdr:colOff>0</xdr:colOff>
      <xdr:row>41</xdr:row>
      <xdr:rowOff>0</xdr:rowOff>
    </xdr:to>
    <xdr:graphicFrame macro="">
      <xdr:nvGraphicFramePr>
        <xdr:cNvPr id="4150" name="Chart 29">
          <a:extLst>
            <a:ext uri="{FF2B5EF4-FFF2-40B4-BE49-F238E27FC236}">
              <a16:creationId xmlns:a16="http://schemas.microsoft.com/office/drawing/2014/main" id="{00000000-0008-0000-0100-000036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0</xdr:rowOff>
    </xdr:from>
    <xdr:to>
      <xdr:col>0</xdr:col>
      <xdr:colOff>0</xdr:colOff>
      <xdr:row>41</xdr:row>
      <xdr:rowOff>0</xdr:rowOff>
    </xdr:to>
    <xdr:graphicFrame macro="">
      <xdr:nvGraphicFramePr>
        <xdr:cNvPr id="4151" name="Chart 31">
          <a:extLst>
            <a:ext uri="{FF2B5EF4-FFF2-40B4-BE49-F238E27FC236}">
              <a16:creationId xmlns:a16="http://schemas.microsoft.com/office/drawing/2014/main" id="{00000000-0008-0000-0100-000037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228600</xdr:colOff>
      <xdr:row>15</xdr:row>
      <xdr:rowOff>28575</xdr:rowOff>
    </xdr:from>
    <xdr:to>
      <xdr:col>4</xdr:col>
      <xdr:colOff>47625</xdr:colOff>
      <xdr:row>20</xdr:row>
      <xdr:rowOff>95250</xdr:rowOff>
    </xdr:to>
    <xdr:sp macro="" textlink="">
      <xdr:nvSpPr>
        <xdr:cNvPr id="1057" name="Text Box 33">
          <a:extLst>
            <a:ext uri="{FF2B5EF4-FFF2-40B4-BE49-F238E27FC236}">
              <a16:creationId xmlns:a16="http://schemas.microsoft.com/office/drawing/2014/main" id="{00000000-0008-0000-0100-000021040000}"/>
            </a:ext>
          </a:extLst>
        </xdr:cNvPr>
        <xdr:cNvSpPr txBox="1">
          <a:spLocks noChangeArrowheads="1"/>
        </xdr:cNvSpPr>
      </xdr:nvSpPr>
      <xdr:spPr bwMode="auto">
        <a:xfrm>
          <a:off x="228600" y="2695575"/>
          <a:ext cx="2219325" cy="895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1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You can modify what clicking these buttons does by opening the visual basic editor.  They are presently set up to modify cell E7 (the value of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).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485775</xdr:colOff>
      <xdr:row>5</xdr:row>
      <xdr:rowOff>152400</xdr:rowOff>
    </xdr:from>
    <xdr:to>
      <xdr:col>7</xdr:col>
      <xdr:colOff>390525</xdr:colOff>
      <xdr:row>7</xdr:row>
      <xdr:rowOff>123825</xdr:rowOff>
    </xdr:to>
    <xdr:sp macro="" textlink="">
      <xdr:nvSpPr>
        <xdr:cNvPr id="4153" name="Line 34">
          <a:extLst>
            <a:ext uri="{FF2B5EF4-FFF2-40B4-BE49-F238E27FC236}">
              <a16:creationId xmlns:a16="http://schemas.microsoft.com/office/drawing/2014/main" id="{00000000-0008-0000-0100-000039100000}"/>
            </a:ext>
          </a:extLst>
        </xdr:cNvPr>
        <xdr:cNvSpPr>
          <a:spLocks noChangeShapeType="1"/>
        </xdr:cNvSpPr>
      </xdr:nvSpPr>
      <xdr:spPr bwMode="auto">
        <a:xfrm flipH="1">
          <a:off x="3486150" y="1190625"/>
          <a:ext cx="1104900" cy="2952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7</xdr:col>
      <xdr:colOff>438150</xdr:colOff>
      <xdr:row>2</xdr:row>
      <xdr:rowOff>19050</xdr:rowOff>
    </xdr:from>
    <xdr:to>
      <xdr:col>11</xdr:col>
      <xdr:colOff>257175</xdr:colOff>
      <xdr:row>15</xdr:row>
      <xdr:rowOff>0</xdr:rowOff>
    </xdr:to>
    <xdr:sp macro="" textlink="">
      <xdr:nvSpPr>
        <xdr:cNvPr id="1071" name="Text Box 47">
          <a:extLst>
            <a:ext uri="{FF2B5EF4-FFF2-40B4-BE49-F238E27FC236}">
              <a16:creationId xmlns:a16="http://schemas.microsoft.com/office/drawing/2014/main" id="{00000000-0008-0000-0100-00002F040000}"/>
            </a:ext>
          </a:extLst>
        </xdr:cNvPr>
        <xdr:cNvSpPr txBox="1">
          <a:spLocks noChangeArrowheads="1"/>
        </xdr:cNvSpPr>
      </xdr:nvSpPr>
      <xdr:spPr bwMode="auto">
        <a:xfrm>
          <a:off x="4638675" y="504825"/>
          <a:ext cx="2219325" cy="2162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2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To understand cylindrical coordinates, imagine a tin can.  y=0 is the bottom of the tin can, and positive values of y represent positions on the can above the base.  r is the radius of the can.  Angle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measures the angle around the can.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If you keep a constant r and a constant y and let 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q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run from 0 to 2</a:t>
          </a:r>
          <a:r>
            <a:rPr lang="en-CA" sz="1000" b="0" i="0" strike="noStrike">
              <a:solidFill>
                <a:srgbClr val="FF0000"/>
              </a:solidFill>
              <a:latin typeface="Symbol"/>
            </a:rPr>
            <a:t>p</a:t>
          </a: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 then you follow a circular path around the can at the specified height y.</a:t>
          </a:r>
        </a:p>
      </xdr:txBody>
    </xdr:sp>
    <xdr:clientData/>
  </xdr:twoCellAnchor>
  <xdr:twoCellAnchor>
    <xdr:from>
      <xdr:col>1</xdr:col>
      <xdr:colOff>285750</xdr:colOff>
      <xdr:row>12</xdr:row>
      <xdr:rowOff>57150</xdr:rowOff>
    </xdr:from>
    <xdr:to>
      <xdr:col>2</xdr:col>
      <xdr:colOff>0</xdr:colOff>
      <xdr:row>15</xdr:row>
      <xdr:rowOff>28575</xdr:rowOff>
    </xdr:to>
    <xdr:sp macro="" textlink="">
      <xdr:nvSpPr>
        <xdr:cNvPr id="4155" name="Line 48">
          <a:extLst>
            <a:ext uri="{FF2B5EF4-FFF2-40B4-BE49-F238E27FC236}">
              <a16:creationId xmlns:a16="http://schemas.microsoft.com/office/drawing/2014/main" id="{00000000-0008-0000-0100-00003B100000}"/>
            </a:ext>
          </a:extLst>
        </xdr:cNvPr>
        <xdr:cNvSpPr>
          <a:spLocks noChangeShapeType="1"/>
        </xdr:cNvSpPr>
      </xdr:nvSpPr>
      <xdr:spPr bwMode="auto">
        <a:xfrm flipH="1" flipV="1">
          <a:off x="885825" y="2238375"/>
          <a:ext cx="314325" cy="457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123825</xdr:colOff>
      <xdr:row>15</xdr:row>
      <xdr:rowOff>38100</xdr:rowOff>
    </xdr:from>
    <xdr:to>
      <xdr:col>9</xdr:col>
      <xdr:colOff>285750</xdr:colOff>
      <xdr:row>18</xdr:row>
      <xdr:rowOff>142875</xdr:rowOff>
    </xdr:to>
    <xdr:sp macro="" textlink="">
      <xdr:nvSpPr>
        <xdr:cNvPr id="1073" name="Text Box 49">
          <a:extLst>
            <a:ext uri="{FF2B5EF4-FFF2-40B4-BE49-F238E27FC236}">
              <a16:creationId xmlns:a16="http://schemas.microsoft.com/office/drawing/2014/main" id="{00000000-0008-0000-0100-000031040000}"/>
            </a:ext>
          </a:extLst>
        </xdr:cNvPr>
        <xdr:cNvSpPr txBox="1">
          <a:spLocks noChangeArrowheads="1"/>
        </xdr:cNvSpPr>
      </xdr:nvSpPr>
      <xdr:spPr bwMode="auto">
        <a:xfrm>
          <a:off x="3124200" y="2705100"/>
          <a:ext cx="2562225" cy="6096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3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 rectangular coordinates of the VRP are computed from the cylindrical coordinates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5</xdr:col>
      <xdr:colOff>514350</xdr:colOff>
      <xdr:row>11</xdr:row>
      <xdr:rowOff>104775</xdr:rowOff>
    </xdr:from>
    <xdr:to>
      <xdr:col>6</xdr:col>
      <xdr:colOff>495300</xdr:colOff>
      <xdr:row>15</xdr:row>
      <xdr:rowOff>38100</xdr:rowOff>
    </xdr:to>
    <xdr:sp macro="" textlink="">
      <xdr:nvSpPr>
        <xdr:cNvPr id="4157" name="Line 50">
          <a:extLst>
            <a:ext uri="{FF2B5EF4-FFF2-40B4-BE49-F238E27FC236}">
              <a16:creationId xmlns:a16="http://schemas.microsoft.com/office/drawing/2014/main" id="{00000000-0008-0000-0100-00003D100000}"/>
            </a:ext>
          </a:extLst>
        </xdr:cNvPr>
        <xdr:cNvSpPr>
          <a:spLocks noChangeShapeType="1"/>
        </xdr:cNvSpPr>
      </xdr:nvSpPr>
      <xdr:spPr bwMode="auto">
        <a:xfrm flipH="1" flipV="1">
          <a:off x="3514725" y="2114550"/>
          <a:ext cx="581025" cy="590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2</xdr:col>
      <xdr:colOff>76200</xdr:colOff>
      <xdr:row>4</xdr:row>
      <xdr:rowOff>19050</xdr:rowOff>
    </xdr:from>
    <xdr:to>
      <xdr:col>2</xdr:col>
      <xdr:colOff>371475</xdr:colOff>
      <xdr:row>9</xdr:row>
      <xdr:rowOff>114300</xdr:rowOff>
    </xdr:to>
    <xdr:sp macro="" textlink="">
      <xdr:nvSpPr>
        <xdr:cNvPr id="4158" name="AutoShape 53">
          <a:extLst>
            <a:ext uri="{FF2B5EF4-FFF2-40B4-BE49-F238E27FC236}">
              <a16:creationId xmlns:a16="http://schemas.microsoft.com/office/drawing/2014/main" id="{00000000-0008-0000-0100-00003E100000}"/>
            </a:ext>
          </a:extLst>
        </xdr:cNvPr>
        <xdr:cNvSpPr>
          <a:spLocks/>
        </xdr:cNvSpPr>
      </xdr:nvSpPr>
      <xdr:spPr bwMode="auto">
        <a:xfrm>
          <a:off x="1276350" y="885825"/>
          <a:ext cx="295275" cy="914400"/>
        </a:xfrm>
        <a:prstGeom prst="rightBrace">
          <a:avLst>
            <a:gd name="adj1" fmla="val 25806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400050</xdr:colOff>
      <xdr:row>6</xdr:row>
      <xdr:rowOff>152400</xdr:rowOff>
    </xdr:from>
    <xdr:to>
      <xdr:col>3</xdr:col>
      <xdr:colOff>571500</xdr:colOff>
      <xdr:row>7</xdr:row>
      <xdr:rowOff>76200</xdr:rowOff>
    </xdr:to>
    <xdr:cxnSp macro="">
      <xdr:nvCxnSpPr>
        <xdr:cNvPr id="4159" name="AutoShape 62">
          <a:extLst>
            <a:ext uri="{FF2B5EF4-FFF2-40B4-BE49-F238E27FC236}">
              <a16:creationId xmlns:a16="http://schemas.microsoft.com/office/drawing/2014/main" id="{00000000-0008-0000-0100-00003F100000}"/>
            </a:ext>
          </a:extLst>
        </xdr:cNvPr>
        <xdr:cNvCxnSpPr>
          <a:cxnSpLocks noChangeShapeType="1"/>
        </xdr:cNvCxnSpPr>
      </xdr:nvCxnSpPr>
      <xdr:spPr bwMode="auto">
        <a:xfrm>
          <a:off x="1600200" y="1352550"/>
          <a:ext cx="771525" cy="85725"/>
        </a:xfrm>
        <a:prstGeom prst="bentConnector3">
          <a:avLst>
            <a:gd name="adj1" fmla="val 81481"/>
          </a:avLst>
        </a:prstGeom>
        <a:noFill/>
        <a:ln w="9525">
          <a:solidFill>
            <a:srgbClr val="000000"/>
          </a:solidFill>
          <a:miter lim="800000"/>
          <a:headEnd/>
          <a:tailEnd type="triangle" w="med" len="med"/>
        </a:ln>
      </xdr:spPr>
    </xdr:cxnSp>
    <xdr:clientData/>
  </xdr:twoCellAnchor>
  <xdr:twoCellAnchor>
    <xdr:from>
      <xdr:col>12</xdr:col>
      <xdr:colOff>19050</xdr:colOff>
      <xdr:row>1</xdr:row>
      <xdr:rowOff>219075</xdr:rowOff>
    </xdr:from>
    <xdr:to>
      <xdr:col>17</xdr:col>
      <xdr:colOff>161925</xdr:colOff>
      <xdr:row>19</xdr:row>
      <xdr:rowOff>9525</xdr:rowOff>
    </xdr:to>
    <xdr:graphicFrame macro="">
      <xdr:nvGraphicFramePr>
        <xdr:cNvPr id="4160" name="Chart 1024">
          <a:extLst>
            <a:ext uri="{FF2B5EF4-FFF2-40B4-BE49-F238E27FC236}">
              <a16:creationId xmlns:a16="http://schemas.microsoft.com/office/drawing/2014/main" id="{00000000-0008-0000-0100-000040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66675</xdr:colOff>
      <xdr:row>23</xdr:row>
      <xdr:rowOff>95250</xdr:rowOff>
    </xdr:from>
    <xdr:to>
      <xdr:col>6</xdr:col>
      <xdr:colOff>9525</xdr:colOff>
      <xdr:row>35</xdr:row>
      <xdr:rowOff>57150</xdr:rowOff>
    </xdr:to>
    <xdr:sp macro="" textlink="">
      <xdr:nvSpPr>
        <xdr:cNvPr id="4161" name="Line 1025">
          <a:extLst>
            <a:ext uri="{FF2B5EF4-FFF2-40B4-BE49-F238E27FC236}">
              <a16:creationId xmlns:a16="http://schemas.microsoft.com/office/drawing/2014/main" id="{00000000-0008-0000-0100-000041100000}"/>
            </a:ext>
          </a:extLst>
        </xdr:cNvPr>
        <xdr:cNvSpPr>
          <a:spLocks noChangeShapeType="1"/>
        </xdr:cNvSpPr>
      </xdr:nvSpPr>
      <xdr:spPr bwMode="auto">
        <a:xfrm flipH="1">
          <a:off x="3067050" y="4076700"/>
          <a:ext cx="542925" cy="1914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12</xdr:col>
      <xdr:colOff>400050</xdr:colOff>
      <xdr:row>19</xdr:row>
      <xdr:rowOff>95250</xdr:rowOff>
    </xdr:from>
    <xdr:to>
      <xdr:col>16</xdr:col>
      <xdr:colOff>76200</xdr:colOff>
      <xdr:row>44</xdr:row>
      <xdr:rowOff>95250</xdr:rowOff>
    </xdr:to>
    <xdr:sp macro="" textlink="">
      <xdr:nvSpPr>
        <xdr:cNvPr id="4098" name="Text Box 1026">
          <a:extLst>
            <a:ext uri="{FF2B5EF4-FFF2-40B4-BE49-F238E27FC236}">
              <a16:creationId xmlns:a16="http://schemas.microsoft.com/office/drawing/2014/main" id="{00000000-0008-0000-0100-000002100000}"/>
            </a:ext>
          </a:extLst>
        </xdr:cNvPr>
        <xdr:cNvSpPr txBox="1">
          <a:spLocks noChangeArrowheads="1"/>
        </xdr:cNvSpPr>
      </xdr:nvSpPr>
      <xdr:spPr bwMode="auto">
        <a:xfrm>
          <a:off x="7600950" y="3429000"/>
          <a:ext cx="2076450" cy="4057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Tip # 5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Suppose you wish to draw a line from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 to c and a second line from b to d and a third line from k to l to m.  Here is an easy way to do it: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In a column put: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a, c, blank, b, d, blank, k, l, m</a:t>
          </a: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(each blank means this line is finished)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use the VLOOKUP function as illustrated here to copy in the coordinates.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Delete any #N/A entries.  </a:t>
          </a:r>
        </a:p>
        <a:p>
          <a:pPr algn="l" rtl="0">
            <a:defRPr sz="1000"/>
          </a:pPr>
          <a:endParaRPr lang="en-CA" sz="1000" b="0" i="0" strike="noStrike">
            <a:solidFill>
              <a:srgbClr val="FF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strike="noStrike">
              <a:solidFill>
                <a:srgbClr val="FF0000"/>
              </a:solidFill>
              <a:latin typeface="Arial"/>
              <a:cs typeface="Arial"/>
            </a:rPr>
            <a:t>Then make a scatter plot with straight lines.  Click on the chart to see where the data is coming from.</a:t>
          </a:r>
        </a:p>
      </xdr:txBody>
    </xdr:sp>
    <xdr:clientData/>
  </xdr:twoCellAnchor>
  <xdr:twoCellAnchor>
    <xdr:from>
      <xdr:col>16</xdr:col>
      <xdr:colOff>76200</xdr:colOff>
      <xdr:row>19</xdr:row>
      <xdr:rowOff>19050</xdr:rowOff>
    </xdr:from>
    <xdr:to>
      <xdr:col>18</xdr:col>
      <xdr:colOff>0</xdr:colOff>
      <xdr:row>29</xdr:row>
      <xdr:rowOff>85725</xdr:rowOff>
    </xdr:to>
    <xdr:sp macro="" textlink="">
      <xdr:nvSpPr>
        <xdr:cNvPr id="4163" name="Line 1028">
          <a:extLst>
            <a:ext uri="{FF2B5EF4-FFF2-40B4-BE49-F238E27FC236}">
              <a16:creationId xmlns:a16="http://schemas.microsoft.com/office/drawing/2014/main" id="{00000000-0008-0000-0100-000043100000}"/>
            </a:ext>
          </a:extLst>
        </xdr:cNvPr>
        <xdr:cNvSpPr>
          <a:spLocks noChangeShapeType="1"/>
        </xdr:cNvSpPr>
      </xdr:nvSpPr>
      <xdr:spPr bwMode="auto">
        <a:xfrm flipV="1">
          <a:off x="9677400" y="3352800"/>
          <a:ext cx="1123950" cy="1695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3</xdr:row>
          <xdr:rowOff>95250</xdr:rowOff>
        </xdr:from>
        <xdr:to>
          <xdr:col>1</xdr:col>
          <xdr:colOff>552450</xdr:colOff>
          <xdr:row>5</xdr:row>
          <xdr:rowOff>38100</xdr:rowOff>
        </xdr:to>
        <xdr:sp macro="" textlink="">
          <xdr:nvSpPr>
            <xdr:cNvPr id="1049" name="cmdRezer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</xdr:row>
          <xdr:rowOff>57150</xdr:rowOff>
        </xdr:from>
        <xdr:to>
          <xdr:col>1</xdr:col>
          <xdr:colOff>561975</xdr:colOff>
          <xdr:row>8</xdr:row>
          <xdr:rowOff>57150</xdr:rowOff>
        </xdr:to>
        <xdr:sp macro="" textlink="">
          <xdr:nvSpPr>
            <xdr:cNvPr id="1050" name="cmdIncrement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19050</xdr:rowOff>
        </xdr:from>
        <xdr:to>
          <xdr:col>1</xdr:col>
          <xdr:colOff>571500</xdr:colOff>
          <xdr:row>11</xdr:row>
          <xdr:rowOff>19050</xdr:rowOff>
        </xdr:to>
        <xdr:sp macro="" textlink="">
          <xdr:nvSpPr>
            <xdr:cNvPr id="1056" name="cmdDecremen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104774</xdr:colOff>
      <xdr:row>0</xdr:row>
      <xdr:rowOff>76200</xdr:rowOff>
    </xdr:from>
    <xdr:to>
      <xdr:col>29</xdr:col>
      <xdr:colOff>66675</xdr:colOff>
      <xdr:row>19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161925</xdr:colOff>
      <xdr:row>20</xdr:row>
      <xdr:rowOff>95250</xdr:rowOff>
    </xdr:from>
    <xdr:to>
      <xdr:col>30</xdr:col>
      <xdr:colOff>171450</xdr:colOff>
      <xdr:row>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3"/>
  <sheetViews>
    <sheetView workbookViewId="0">
      <selection activeCell="F10" sqref="F10"/>
    </sheetView>
  </sheetViews>
  <sheetFormatPr defaultRowHeight="12.75" x14ac:dyDescent="0.2"/>
  <cols>
    <col min="1" max="1" width="15.5703125" bestFit="1" customWidth="1"/>
  </cols>
  <sheetData>
    <row r="1" spans="1:3" x14ac:dyDescent="0.2">
      <c r="A1" s="46">
        <v>41960.439328703702</v>
      </c>
      <c r="B1" s="47" t="s">
        <v>41</v>
      </c>
      <c r="C1" s="47" t="s">
        <v>36</v>
      </c>
    </row>
    <row r="2" spans="1:3" x14ac:dyDescent="0.2">
      <c r="A2" s="46">
        <v>41960.439583333333</v>
      </c>
      <c r="B2" s="47" t="s">
        <v>41</v>
      </c>
      <c r="C2" s="47" t="s">
        <v>36</v>
      </c>
    </row>
    <row r="3" spans="1:3" x14ac:dyDescent="0.2">
      <c r="A3" s="46">
        <v>42693.598425925928</v>
      </c>
      <c r="B3" s="47" t="s">
        <v>42</v>
      </c>
      <c r="C3" s="47" t="s">
        <v>36</v>
      </c>
    </row>
    <row r="4" spans="1:3" x14ac:dyDescent="0.2">
      <c r="A4" s="46">
        <v>42693.600231481483</v>
      </c>
      <c r="B4" s="47" t="s">
        <v>42</v>
      </c>
      <c r="C4" s="47" t="s">
        <v>43</v>
      </c>
    </row>
    <row r="5" spans="1:3" x14ac:dyDescent="0.2">
      <c r="A5" s="46">
        <v>42693.614155092589</v>
      </c>
      <c r="B5" s="47" t="s">
        <v>44</v>
      </c>
      <c r="C5" s="47" t="s">
        <v>43</v>
      </c>
    </row>
    <row r="6" spans="1:3" x14ac:dyDescent="0.2">
      <c r="A6" s="46">
        <v>42693.614918981482</v>
      </c>
      <c r="B6" s="47" t="s">
        <v>44</v>
      </c>
      <c r="C6" s="47" t="s">
        <v>43</v>
      </c>
    </row>
    <row r="7" spans="1:3" x14ac:dyDescent="0.2">
      <c r="A7" s="46">
        <v>42693.617013888892</v>
      </c>
      <c r="B7" s="47" t="s">
        <v>44</v>
      </c>
      <c r="C7" s="47" t="s">
        <v>43</v>
      </c>
    </row>
    <row r="8" spans="1:3" x14ac:dyDescent="0.2">
      <c r="A8" s="46">
        <v>42693.617222222223</v>
      </c>
      <c r="B8" s="47" t="s">
        <v>44</v>
      </c>
      <c r="C8" s="47" t="s">
        <v>43</v>
      </c>
    </row>
    <row r="9" spans="1:3" x14ac:dyDescent="0.2">
      <c r="A9" s="53">
        <v>42693.638124999998</v>
      </c>
      <c r="B9" s="54" t="s">
        <v>44</v>
      </c>
      <c r="C9" s="54" t="s">
        <v>43</v>
      </c>
    </row>
    <row r="10" spans="1:3" x14ac:dyDescent="0.2">
      <c r="A10" s="53">
        <v>42693.640983796293</v>
      </c>
      <c r="B10" s="54" t="s">
        <v>44</v>
      </c>
      <c r="C10" s="54" t="s">
        <v>43</v>
      </c>
    </row>
    <row r="11" spans="1:3" x14ac:dyDescent="0.2">
      <c r="A11" s="53">
        <v>42693.651898148149</v>
      </c>
      <c r="B11" s="54" t="s">
        <v>44</v>
      </c>
      <c r="C11" s="54" t="s">
        <v>43</v>
      </c>
    </row>
    <row r="12" spans="1:3" x14ac:dyDescent="0.2">
      <c r="A12" s="53">
        <v>42693.665671296294</v>
      </c>
      <c r="B12" s="54" t="s">
        <v>44</v>
      </c>
      <c r="C12" s="54" t="s">
        <v>43</v>
      </c>
    </row>
    <row r="13" spans="1:3" x14ac:dyDescent="0.2">
      <c r="A13" s="53">
        <v>42693.667187500003</v>
      </c>
      <c r="B13" s="54" t="s">
        <v>44</v>
      </c>
      <c r="C13" s="54" t="s">
        <v>43</v>
      </c>
    </row>
    <row r="14" spans="1:3" x14ac:dyDescent="0.2">
      <c r="A14" s="53">
        <v>42693.667361111111</v>
      </c>
      <c r="B14" s="54" t="s">
        <v>44</v>
      </c>
      <c r="C14" s="54" t="s">
        <v>43</v>
      </c>
    </row>
    <row r="15" spans="1:3" x14ac:dyDescent="0.2">
      <c r="A15" s="46">
        <v>42693.893460648149</v>
      </c>
      <c r="B15" s="47" t="s">
        <v>44</v>
      </c>
      <c r="C15" s="47" t="s">
        <v>43</v>
      </c>
    </row>
    <row r="16" spans="1:3" x14ac:dyDescent="0.2">
      <c r="A16" s="46">
        <v>42693.895462962966</v>
      </c>
      <c r="B16" s="47" t="s">
        <v>44</v>
      </c>
      <c r="C16" s="47" t="s">
        <v>43</v>
      </c>
    </row>
    <row r="17" spans="1:3" x14ac:dyDescent="0.2">
      <c r="A17" s="46">
        <v>42693.901550925926</v>
      </c>
      <c r="B17" s="47" t="s">
        <v>44</v>
      </c>
      <c r="C17" s="47" t="s">
        <v>43</v>
      </c>
    </row>
    <row r="18" spans="1:3" x14ac:dyDescent="0.2">
      <c r="A18" s="46">
        <v>42693.905740740738</v>
      </c>
      <c r="B18" s="47" t="s">
        <v>44</v>
      </c>
      <c r="C18" s="47" t="s">
        <v>43</v>
      </c>
    </row>
    <row r="19" spans="1:3" x14ac:dyDescent="0.2">
      <c r="A19" s="46">
        <v>42693.94158564815</v>
      </c>
      <c r="B19" s="47" t="s">
        <v>44</v>
      </c>
      <c r="C19" s="47" t="s">
        <v>43</v>
      </c>
    </row>
    <row r="20" spans="1:3" x14ac:dyDescent="0.2">
      <c r="A20" s="46">
        <v>42693.946157407408</v>
      </c>
      <c r="B20" s="47" t="s">
        <v>44</v>
      </c>
      <c r="C20" s="47" t="s">
        <v>43</v>
      </c>
    </row>
    <row r="21" spans="1:3" x14ac:dyDescent="0.2">
      <c r="A21" s="46">
        <v>42693.95008101852</v>
      </c>
      <c r="B21" s="47" t="s">
        <v>44</v>
      </c>
      <c r="C21" s="47" t="s">
        <v>43</v>
      </c>
    </row>
    <row r="22" spans="1:3" x14ac:dyDescent="0.2">
      <c r="A22" s="46">
        <v>42693.953946759262</v>
      </c>
      <c r="B22" s="47" t="s">
        <v>44</v>
      </c>
      <c r="C22" s="47" t="s">
        <v>43</v>
      </c>
    </row>
    <row r="23" spans="1:3" x14ac:dyDescent="0.2">
      <c r="A23" s="46">
        <v>42693.976643518516</v>
      </c>
      <c r="B23" s="47" t="s">
        <v>44</v>
      </c>
      <c r="C23" s="47" t="s">
        <v>43</v>
      </c>
    </row>
    <row r="24" spans="1:3" x14ac:dyDescent="0.2">
      <c r="A24" s="46">
        <v>42693.982476851852</v>
      </c>
      <c r="B24" s="47" t="s">
        <v>44</v>
      </c>
      <c r="C24" s="47" t="s">
        <v>43</v>
      </c>
    </row>
    <row r="25" spans="1:3" x14ac:dyDescent="0.2">
      <c r="A25" s="46">
        <v>42693.983668981484</v>
      </c>
      <c r="B25" s="47" t="s">
        <v>44</v>
      </c>
      <c r="C25" s="47" t="s">
        <v>43</v>
      </c>
    </row>
    <row r="26" spans="1:3" x14ac:dyDescent="0.2">
      <c r="A26" s="46">
        <v>42695.378981481481</v>
      </c>
      <c r="B26" s="47" t="s">
        <v>44</v>
      </c>
      <c r="C26" s="47" t="s">
        <v>43</v>
      </c>
    </row>
    <row r="27" spans="1:3" x14ac:dyDescent="0.2">
      <c r="A27" s="46">
        <v>42695.390023148146</v>
      </c>
      <c r="B27" s="47" t="s">
        <v>44</v>
      </c>
      <c r="C27" s="47" t="s">
        <v>43</v>
      </c>
    </row>
    <row r="28" spans="1:3" x14ac:dyDescent="0.2">
      <c r="A28" s="46">
        <v>42695.393576388888</v>
      </c>
      <c r="B28" s="47" t="s">
        <v>44</v>
      </c>
      <c r="C28" s="47" t="s">
        <v>43</v>
      </c>
    </row>
    <row r="29" spans="1:3" x14ac:dyDescent="0.2">
      <c r="A29" s="46">
        <v>42695.399259259262</v>
      </c>
      <c r="B29" s="47" t="s">
        <v>44</v>
      </c>
      <c r="C29" s="47" t="s">
        <v>43</v>
      </c>
    </row>
    <row r="30" spans="1:3" x14ac:dyDescent="0.2">
      <c r="A30" s="46">
        <v>42695.407418981478</v>
      </c>
      <c r="B30" s="47" t="s">
        <v>44</v>
      </c>
      <c r="C30" s="47" t="s">
        <v>43</v>
      </c>
    </row>
    <row r="31" spans="1:3" x14ac:dyDescent="0.2">
      <c r="A31" s="46">
        <v>42695.407870370371</v>
      </c>
      <c r="B31" s="47" t="s">
        <v>44</v>
      </c>
      <c r="C31" s="47" t="s">
        <v>43</v>
      </c>
    </row>
    <row r="32" spans="1:3" x14ac:dyDescent="0.2">
      <c r="A32" s="46">
        <v>42695.500613425924</v>
      </c>
      <c r="B32" s="47" t="s">
        <v>44</v>
      </c>
      <c r="C32" s="47" t="s">
        <v>43</v>
      </c>
    </row>
    <row r="33" spans="1:3" x14ac:dyDescent="0.2">
      <c r="A33" s="46">
        <v>42695.500810185185</v>
      </c>
      <c r="B33" s="47" t="s">
        <v>44</v>
      </c>
      <c r="C33" s="47" t="s">
        <v>43</v>
      </c>
    </row>
    <row r="34" spans="1:3" x14ac:dyDescent="0.2">
      <c r="A34" s="46">
        <v>42695.502453703702</v>
      </c>
      <c r="B34" s="47" t="s">
        <v>44</v>
      </c>
      <c r="C34" s="47" t="s">
        <v>43</v>
      </c>
    </row>
    <row r="35" spans="1:3" x14ac:dyDescent="0.2">
      <c r="A35" s="46">
        <v>42695.506238425929</v>
      </c>
      <c r="B35" s="47" t="s">
        <v>44</v>
      </c>
      <c r="C35" s="47" t="s">
        <v>43</v>
      </c>
    </row>
    <row r="36" spans="1:3" x14ac:dyDescent="0.2">
      <c r="A36" s="46">
        <v>42695.506678240738</v>
      </c>
      <c r="B36" s="47" t="s">
        <v>44</v>
      </c>
      <c r="C36" s="47" t="s">
        <v>43</v>
      </c>
    </row>
    <row r="37" spans="1:3" x14ac:dyDescent="0.2">
      <c r="A37" s="46">
        <v>42695.510636574072</v>
      </c>
      <c r="B37" s="47" t="s">
        <v>44</v>
      </c>
      <c r="C37" s="47" t="s">
        <v>43</v>
      </c>
    </row>
    <row r="38" spans="1:3" x14ac:dyDescent="0.2">
      <c r="A38" s="46">
        <v>42695.511608796296</v>
      </c>
      <c r="B38" s="47" t="s">
        <v>44</v>
      </c>
      <c r="C38" s="47" t="s">
        <v>43</v>
      </c>
    </row>
    <row r="39" spans="1:3" x14ac:dyDescent="0.2">
      <c r="A39" s="46">
        <v>42695.515173611115</v>
      </c>
      <c r="B39" s="47" t="s">
        <v>44</v>
      </c>
      <c r="C39" s="47" t="s">
        <v>43</v>
      </c>
    </row>
    <row r="40" spans="1:3" x14ac:dyDescent="0.2">
      <c r="A40" s="46">
        <v>42695.515300925923</v>
      </c>
      <c r="B40" s="47" t="s">
        <v>44</v>
      </c>
      <c r="C40" s="47" t="s">
        <v>43</v>
      </c>
    </row>
    <row r="41" spans="1:3" x14ac:dyDescent="0.2">
      <c r="A41" s="46">
        <v>42695.516226851854</v>
      </c>
      <c r="B41" s="47" t="s">
        <v>44</v>
      </c>
      <c r="C41" s="47" t="s">
        <v>43</v>
      </c>
    </row>
    <row r="42" spans="1:3" x14ac:dyDescent="0.2">
      <c r="A42" s="46">
        <v>42695.519166666665</v>
      </c>
      <c r="B42" s="47" t="s">
        <v>44</v>
      </c>
      <c r="C42" s="47" t="s">
        <v>43</v>
      </c>
    </row>
    <row r="43" spans="1:3" x14ac:dyDescent="0.2">
      <c r="A43" s="46">
        <v>42696.347662037035</v>
      </c>
      <c r="B43" s="47" t="s">
        <v>44</v>
      </c>
      <c r="C43" s="47" t="s">
        <v>43</v>
      </c>
    </row>
    <row r="44" spans="1:3" x14ac:dyDescent="0.2">
      <c r="A44" s="46">
        <v>42696.645624999997</v>
      </c>
      <c r="B44" s="47" t="s">
        <v>44</v>
      </c>
      <c r="C44" s="47" t="s">
        <v>43</v>
      </c>
    </row>
    <row r="45" spans="1:3" x14ac:dyDescent="0.2">
      <c r="A45" s="46">
        <v>42696.709120370368</v>
      </c>
      <c r="B45" s="47" t="s">
        <v>44</v>
      </c>
      <c r="C45" s="47" t="s">
        <v>43</v>
      </c>
    </row>
    <row r="46" spans="1:3" x14ac:dyDescent="0.2">
      <c r="A46" s="46">
        <v>42696.710335648146</v>
      </c>
      <c r="B46" s="47" t="s">
        <v>44</v>
      </c>
      <c r="C46" s="47" t="s">
        <v>43</v>
      </c>
    </row>
    <row r="47" spans="1:3" x14ac:dyDescent="0.2">
      <c r="A47" s="46">
        <v>42696.718113425923</v>
      </c>
      <c r="B47" s="47" t="s">
        <v>44</v>
      </c>
      <c r="C47" s="47" t="s">
        <v>43</v>
      </c>
    </row>
    <row r="48" spans="1:3" x14ac:dyDescent="0.2">
      <c r="A48" s="46">
        <v>42696.729189814818</v>
      </c>
      <c r="B48" s="47" t="s">
        <v>44</v>
      </c>
      <c r="C48" s="47" t="s">
        <v>43</v>
      </c>
    </row>
    <row r="49" spans="1:3" x14ac:dyDescent="0.2">
      <c r="A49" s="46">
        <v>42697.406736111108</v>
      </c>
      <c r="B49" s="47" t="s">
        <v>44</v>
      </c>
      <c r="C49" s="47" t="s">
        <v>43</v>
      </c>
    </row>
    <row r="50" spans="1:3" x14ac:dyDescent="0.2">
      <c r="A50" s="46">
        <v>42697.438831018517</v>
      </c>
      <c r="B50" s="47" t="s">
        <v>44</v>
      </c>
      <c r="C50" s="47" t="s">
        <v>43</v>
      </c>
    </row>
    <row r="51" spans="1:3" x14ac:dyDescent="0.2">
      <c r="A51" s="46">
        <v>42697.45652777778</v>
      </c>
      <c r="B51" s="47" t="s">
        <v>44</v>
      </c>
      <c r="C51" s="47" t="s">
        <v>43</v>
      </c>
    </row>
    <row r="52" spans="1:3" x14ac:dyDescent="0.2">
      <c r="A52" s="46">
        <v>42697.464236111111</v>
      </c>
      <c r="B52" s="47" t="s">
        <v>44</v>
      </c>
      <c r="C52" s="47" t="s">
        <v>43</v>
      </c>
    </row>
    <row r="53" spans="1:3" x14ac:dyDescent="0.2">
      <c r="A53" s="46">
        <v>42697.470671296294</v>
      </c>
      <c r="B53" s="47" t="s">
        <v>44</v>
      </c>
      <c r="C53" s="47" t="s">
        <v>43</v>
      </c>
    </row>
    <row r="54" spans="1:3" x14ac:dyDescent="0.2">
      <c r="A54" s="46">
        <v>42700.429988425924</v>
      </c>
      <c r="B54" s="47" t="s">
        <v>44</v>
      </c>
      <c r="C54" s="47" t="s">
        <v>43</v>
      </c>
    </row>
    <row r="55" spans="1:3" x14ac:dyDescent="0.2">
      <c r="A55" s="46">
        <v>42700.591469907406</v>
      </c>
      <c r="B55" s="47" t="s">
        <v>44</v>
      </c>
      <c r="C55" s="47" t="s">
        <v>43</v>
      </c>
    </row>
    <row r="56" spans="1:3" x14ac:dyDescent="0.2">
      <c r="A56" s="46">
        <v>42700.600925925923</v>
      </c>
      <c r="B56" s="47" t="s">
        <v>44</v>
      </c>
      <c r="C56" s="47" t="s">
        <v>43</v>
      </c>
    </row>
    <row r="57" spans="1:3" x14ac:dyDescent="0.2">
      <c r="A57" s="46">
        <v>42700.601226851853</v>
      </c>
      <c r="B57" s="47" t="s">
        <v>44</v>
      </c>
      <c r="C57" s="47" t="s">
        <v>43</v>
      </c>
    </row>
    <row r="58" spans="1:3" x14ac:dyDescent="0.2">
      <c r="A58" s="46">
        <v>42700.60224537037</v>
      </c>
      <c r="B58" s="47" t="s">
        <v>44</v>
      </c>
      <c r="C58" s="47" t="s">
        <v>43</v>
      </c>
    </row>
    <row r="59" spans="1:3" x14ac:dyDescent="0.2">
      <c r="A59" s="46">
        <v>42700.602847222224</v>
      </c>
      <c r="B59" s="47" t="s">
        <v>44</v>
      </c>
      <c r="C59" s="47" t="s">
        <v>43</v>
      </c>
    </row>
    <row r="60" spans="1:3" x14ac:dyDescent="0.2">
      <c r="A60" s="46">
        <v>42700.625405092593</v>
      </c>
      <c r="B60" s="47" t="s">
        <v>44</v>
      </c>
      <c r="C60" s="47" t="s">
        <v>43</v>
      </c>
    </row>
    <row r="61" spans="1:3" x14ac:dyDescent="0.2">
      <c r="A61" s="46">
        <v>42702.3591087963</v>
      </c>
      <c r="B61" s="47" t="s">
        <v>44</v>
      </c>
      <c r="C61" s="47" t="s">
        <v>43</v>
      </c>
    </row>
    <row r="62" spans="1:3" x14ac:dyDescent="0.2">
      <c r="A62" s="46">
        <v>42702.359351851854</v>
      </c>
      <c r="B62" s="47" t="s">
        <v>44</v>
      </c>
      <c r="C62" s="47" t="s">
        <v>85</v>
      </c>
    </row>
    <row r="63" spans="1:3" x14ac:dyDescent="0.2">
      <c r="A63" s="46">
        <v>42702.359479166669</v>
      </c>
      <c r="B63" s="47" t="s">
        <v>44</v>
      </c>
      <c r="C63" s="47" t="s">
        <v>85</v>
      </c>
    </row>
  </sheetData>
  <phoneticPr fontId="8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U323"/>
  <sheetViews>
    <sheetView tabSelected="1" workbookViewId="0">
      <selection activeCell="F15" sqref="F15"/>
    </sheetView>
  </sheetViews>
  <sheetFormatPr defaultColWidth="9" defaultRowHeight="12.75" x14ac:dyDescent="0.2"/>
  <cols>
    <col min="2" max="2" width="13.140625" bestFit="1" customWidth="1"/>
    <col min="7" max="9" width="13.140625" bestFit="1" customWidth="1"/>
    <col min="10" max="10" width="9.140625" bestFit="1" customWidth="1"/>
  </cols>
  <sheetData>
    <row r="1" spans="1:21" ht="18" x14ac:dyDescent="0.25">
      <c r="A1" s="39" t="s">
        <v>85</v>
      </c>
    </row>
    <row r="2" spans="1:21" ht="20.25" x14ac:dyDescent="0.3">
      <c r="A2" s="1" t="s">
        <v>40</v>
      </c>
    </row>
    <row r="3" spans="1:21" ht="13.5" thickBot="1" x14ac:dyDescent="0.25"/>
    <row r="4" spans="1:21" ht="16.5" thickBot="1" x14ac:dyDescent="0.3">
      <c r="A4" s="24"/>
      <c r="B4" s="10"/>
      <c r="C4" s="10"/>
      <c r="D4" s="27" t="s">
        <v>20</v>
      </c>
      <c r="E4" s="10"/>
      <c r="F4" s="10"/>
      <c r="G4" s="11"/>
      <c r="S4" t="s">
        <v>33</v>
      </c>
    </row>
    <row r="5" spans="1:21" ht="13.5" thickTop="1" x14ac:dyDescent="0.2">
      <c r="A5" s="25"/>
      <c r="B5" s="4"/>
      <c r="C5" s="4"/>
      <c r="D5" s="4"/>
      <c r="E5" s="4"/>
      <c r="F5" s="4"/>
      <c r="G5" s="7"/>
      <c r="S5" s="34" t="s">
        <v>3</v>
      </c>
      <c r="T5" s="35">
        <f>VLOOKUP(S5, $A$25:$E$57, 3)</f>
        <v>0</v>
      </c>
      <c r="U5" s="36">
        <f>VLOOKUP(S5, $A$25:$E$57,  2)</f>
        <v>0</v>
      </c>
    </row>
    <row r="6" spans="1:21" x14ac:dyDescent="0.2">
      <c r="A6" s="6"/>
      <c r="B6" s="4"/>
      <c r="C6" s="4"/>
      <c r="D6" s="4" t="s">
        <v>18</v>
      </c>
      <c r="E6" s="4"/>
      <c r="F6" s="4"/>
      <c r="G6" s="7"/>
      <c r="S6" s="37" t="s">
        <v>25</v>
      </c>
      <c r="T6" s="4">
        <f t="shared" ref="T6:T68" si="0">VLOOKUP(S6, $A$25:$E$57, 3)</f>
        <v>0</v>
      </c>
      <c r="U6" s="38">
        <f t="shared" ref="U6:U65" si="1">VLOOKUP(S6, $A$25:$E$57,  2)</f>
        <v>700</v>
      </c>
    </row>
    <row r="7" spans="1:21" x14ac:dyDescent="0.2">
      <c r="A7" s="17"/>
      <c r="B7" s="13"/>
      <c r="C7" s="4"/>
      <c r="D7" s="13" t="s">
        <v>16</v>
      </c>
      <c r="E7" s="18" t="s">
        <v>17</v>
      </c>
      <c r="F7" s="13" t="s">
        <v>2</v>
      </c>
      <c r="G7" s="7"/>
      <c r="S7" s="37" t="s">
        <v>26</v>
      </c>
      <c r="T7" s="4">
        <f t="shared" si="0"/>
        <v>360</v>
      </c>
      <c r="U7" s="38">
        <f t="shared" si="1"/>
        <v>700</v>
      </c>
    </row>
    <row r="8" spans="1:21" x14ac:dyDescent="0.2">
      <c r="A8" s="17"/>
      <c r="B8" s="13"/>
      <c r="C8" s="4"/>
      <c r="D8" s="13">
        <f>3*MAX(B32,C32)</f>
        <v>2700</v>
      </c>
      <c r="E8" s="21">
        <v>1</v>
      </c>
      <c r="F8" s="13">
        <f>8*D32</f>
        <v>6400</v>
      </c>
      <c r="G8" s="7"/>
      <c r="S8" s="37" t="s">
        <v>0</v>
      </c>
      <c r="T8" s="4">
        <f t="shared" si="0"/>
        <v>360</v>
      </c>
      <c r="U8" s="38">
        <f t="shared" si="1"/>
        <v>489.99999999999994</v>
      </c>
    </row>
    <row r="9" spans="1:21" x14ac:dyDescent="0.2">
      <c r="A9" s="17"/>
      <c r="B9" s="13"/>
      <c r="C9" s="4"/>
      <c r="D9" s="19"/>
      <c r="E9" s="13"/>
      <c r="F9" s="4"/>
      <c r="G9" s="7"/>
      <c r="S9" s="37" t="s">
        <v>22</v>
      </c>
      <c r="T9" s="4">
        <f t="shared" si="0"/>
        <v>900</v>
      </c>
      <c r="U9" s="38">
        <f t="shared" si="1"/>
        <v>489.99999999999994</v>
      </c>
    </row>
    <row r="10" spans="1:21" x14ac:dyDescent="0.2">
      <c r="A10" s="17"/>
      <c r="B10" s="20"/>
      <c r="C10" s="4"/>
      <c r="D10" s="4" t="s">
        <v>19</v>
      </c>
      <c r="E10" s="4"/>
      <c r="F10" s="4"/>
      <c r="G10" s="7"/>
      <c r="S10" s="37" t="s">
        <v>21</v>
      </c>
      <c r="T10" s="4">
        <f t="shared" si="0"/>
        <v>900</v>
      </c>
      <c r="U10" s="38">
        <f t="shared" si="1"/>
        <v>0</v>
      </c>
    </row>
    <row r="11" spans="1:21" x14ac:dyDescent="0.2">
      <c r="A11" s="17"/>
      <c r="B11" s="4"/>
      <c r="C11" s="4"/>
      <c r="D11" s="13" t="s">
        <v>0</v>
      </c>
      <c r="E11" s="13" t="s">
        <v>1</v>
      </c>
      <c r="F11" s="13" t="s">
        <v>2</v>
      </c>
      <c r="G11" s="7"/>
      <c r="S11" s="37" t="s">
        <v>3</v>
      </c>
      <c r="T11" s="4">
        <f t="shared" si="0"/>
        <v>0</v>
      </c>
      <c r="U11" s="38">
        <f t="shared" si="1"/>
        <v>0</v>
      </c>
    </row>
    <row r="12" spans="1:21" ht="13.5" thickBot="1" x14ac:dyDescent="0.25">
      <c r="A12" s="26"/>
      <c r="B12" s="8"/>
      <c r="C12" s="8"/>
      <c r="D12" s="15">
        <f>D8*COS(E8)</f>
        <v>1458.8162258439775</v>
      </c>
      <c r="E12" s="15">
        <f>D8*SIN(E8)</f>
        <v>2271.9716589813206</v>
      </c>
      <c r="F12" s="15">
        <f>F8</f>
        <v>6400</v>
      </c>
      <c r="G12" s="9"/>
      <c r="S12" s="37"/>
      <c r="T12" s="4"/>
      <c r="U12" s="38"/>
    </row>
    <row r="13" spans="1:21" x14ac:dyDescent="0.2">
      <c r="A13" s="4"/>
      <c r="B13" s="19"/>
      <c r="C13" s="4"/>
      <c r="D13" s="19"/>
      <c r="E13" s="4"/>
      <c r="F13" s="4"/>
      <c r="G13" s="4"/>
      <c r="S13" s="37" t="s">
        <v>16</v>
      </c>
      <c r="T13" s="4">
        <f t="shared" si="0"/>
        <v>0</v>
      </c>
      <c r="U13" s="38">
        <f t="shared" si="1"/>
        <v>140</v>
      </c>
    </row>
    <row r="14" spans="1:21" x14ac:dyDescent="0.2">
      <c r="B14" s="3"/>
      <c r="D14" s="3"/>
      <c r="S14" s="37" t="s">
        <v>24</v>
      </c>
      <c r="T14" s="4">
        <f t="shared" si="0"/>
        <v>0</v>
      </c>
      <c r="U14" s="38">
        <f t="shared" si="1"/>
        <v>700</v>
      </c>
    </row>
    <row r="15" spans="1:21" x14ac:dyDescent="0.2">
      <c r="B15" s="3"/>
      <c r="D15" s="3"/>
      <c r="S15" s="37" t="s">
        <v>27</v>
      </c>
      <c r="T15" s="4">
        <f t="shared" si="0"/>
        <v>360</v>
      </c>
      <c r="U15" s="38">
        <f t="shared" si="1"/>
        <v>700</v>
      </c>
    </row>
    <row r="16" spans="1:21" x14ac:dyDescent="0.2">
      <c r="B16" s="3"/>
      <c r="D16" s="3"/>
      <c r="S16" s="37" t="s">
        <v>28</v>
      </c>
      <c r="T16" s="4">
        <f t="shared" si="0"/>
        <v>360</v>
      </c>
      <c r="U16" s="38">
        <f t="shared" si="1"/>
        <v>489.99999999999994</v>
      </c>
    </row>
    <row r="17" spans="1:21" ht="14.45" customHeight="1" x14ac:dyDescent="0.2">
      <c r="D17" s="3"/>
      <c r="S17" s="37" t="s">
        <v>23</v>
      </c>
      <c r="T17" s="4">
        <f t="shared" si="0"/>
        <v>900</v>
      </c>
      <c r="U17" s="38">
        <f t="shared" si="1"/>
        <v>489.99999999999994</v>
      </c>
    </row>
    <row r="18" spans="1:21" x14ac:dyDescent="0.2">
      <c r="S18" s="37" t="s">
        <v>17</v>
      </c>
      <c r="T18" s="4">
        <f t="shared" si="0"/>
        <v>900</v>
      </c>
      <c r="U18" s="38">
        <f t="shared" si="1"/>
        <v>140</v>
      </c>
    </row>
    <row r="19" spans="1:21" x14ac:dyDescent="0.2">
      <c r="S19" s="37" t="s">
        <v>16</v>
      </c>
      <c r="T19" s="4">
        <f t="shared" si="0"/>
        <v>0</v>
      </c>
      <c r="U19" s="38">
        <f t="shared" si="1"/>
        <v>140</v>
      </c>
    </row>
    <row r="20" spans="1:21" x14ac:dyDescent="0.2">
      <c r="S20" s="37"/>
      <c r="T20" s="4"/>
      <c r="U20" s="38"/>
    </row>
    <row r="21" spans="1:21" x14ac:dyDescent="0.2">
      <c r="S21" s="37" t="s">
        <v>6</v>
      </c>
      <c r="T21" s="4">
        <f t="shared" si="0"/>
        <v>0</v>
      </c>
      <c r="U21" s="38">
        <f t="shared" si="1"/>
        <v>0</v>
      </c>
    </row>
    <row r="22" spans="1:21" x14ac:dyDescent="0.2">
      <c r="S22" s="37" t="s">
        <v>7</v>
      </c>
      <c r="T22" s="4">
        <f t="shared" si="0"/>
        <v>0</v>
      </c>
      <c r="U22" s="38">
        <f t="shared" si="1"/>
        <v>140</v>
      </c>
    </row>
    <row r="23" spans="1:21" x14ac:dyDescent="0.2">
      <c r="A23" t="s">
        <v>35</v>
      </c>
      <c r="C23" s="2"/>
      <c r="S23" s="37" t="s">
        <v>8</v>
      </c>
      <c r="T23" s="4">
        <f t="shared" si="0"/>
        <v>270</v>
      </c>
      <c r="U23" s="38">
        <f t="shared" si="1"/>
        <v>140</v>
      </c>
    </row>
    <row r="24" spans="1:21" ht="13.5" thickBot="1" x14ac:dyDescent="0.25">
      <c r="B24" s="5" t="s">
        <v>0</v>
      </c>
      <c r="C24" s="5" t="s">
        <v>1</v>
      </c>
      <c r="D24" s="5" t="s">
        <v>2</v>
      </c>
      <c r="E24" s="5" t="s">
        <v>4</v>
      </c>
      <c r="S24" s="37" t="s">
        <v>10</v>
      </c>
      <c r="T24" s="4">
        <f t="shared" si="0"/>
        <v>270</v>
      </c>
      <c r="U24" s="38">
        <f t="shared" si="1"/>
        <v>0</v>
      </c>
    </row>
    <row r="25" spans="1:21" x14ac:dyDescent="0.2">
      <c r="A25" s="22" t="s">
        <v>3</v>
      </c>
      <c r="B25" s="30">
        <v>0</v>
      </c>
      <c r="C25" s="31">
        <v>0</v>
      </c>
      <c r="D25" s="31">
        <v>0</v>
      </c>
      <c r="E25" s="32">
        <v>1</v>
      </c>
      <c r="S25" s="37" t="s">
        <v>6</v>
      </c>
      <c r="T25" s="4">
        <f t="shared" si="0"/>
        <v>0</v>
      </c>
      <c r="U25" s="38">
        <f t="shared" si="1"/>
        <v>0</v>
      </c>
    </row>
    <row r="26" spans="1:21" x14ac:dyDescent="0.2">
      <c r="A26" s="23" t="s">
        <v>30</v>
      </c>
      <c r="B26">
        <f>0.35*B32</f>
        <v>244.99999999999997</v>
      </c>
      <c r="C26">
        <f>0.3*C32</f>
        <v>270</v>
      </c>
      <c r="D26">
        <f>D32</f>
        <v>800</v>
      </c>
      <c r="E26" s="14">
        <v>1</v>
      </c>
      <c r="S26" s="37"/>
      <c r="T26" s="4"/>
      <c r="U26" s="38"/>
    </row>
    <row r="27" spans="1:21" x14ac:dyDescent="0.2">
      <c r="A27" s="23" t="s">
        <v>31</v>
      </c>
      <c r="B27">
        <f>0.95*B32</f>
        <v>665</v>
      </c>
      <c r="C27">
        <f>C26</f>
        <v>270</v>
      </c>
      <c r="D27">
        <f>D26</f>
        <v>800</v>
      </c>
      <c r="E27" s="14">
        <v>1</v>
      </c>
      <c r="S27" s="37" t="s">
        <v>13</v>
      </c>
      <c r="T27" s="4">
        <f t="shared" si="0"/>
        <v>630</v>
      </c>
      <c r="U27" s="38">
        <f t="shared" si="1"/>
        <v>140</v>
      </c>
    </row>
    <row r="28" spans="1:21" x14ac:dyDescent="0.2">
      <c r="A28" s="23" t="s">
        <v>32</v>
      </c>
      <c r="B28">
        <f>0.6*B32</f>
        <v>420</v>
      </c>
      <c r="C28">
        <f>0.5*C32</f>
        <v>450</v>
      </c>
      <c r="D28">
        <f>D32</f>
        <v>800</v>
      </c>
      <c r="E28" s="14">
        <v>1</v>
      </c>
      <c r="S28" s="37" t="s">
        <v>14</v>
      </c>
      <c r="T28" s="4">
        <f t="shared" si="0"/>
        <v>900</v>
      </c>
      <c r="U28" s="38">
        <f t="shared" si="1"/>
        <v>140</v>
      </c>
    </row>
    <row r="29" spans="1:21" x14ac:dyDescent="0.2">
      <c r="A29" s="23" t="s">
        <v>34</v>
      </c>
      <c r="B29">
        <f>0.2*B32</f>
        <v>140</v>
      </c>
      <c r="C29">
        <f>0.35*C32</f>
        <v>315</v>
      </c>
      <c r="D29">
        <f>4.5*D32</f>
        <v>3600</v>
      </c>
      <c r="E29" s="14">
        <v>1</v>
      </c>
      <c r="S29" s="37" t="s">
        <v>15</v>
      </c>
      <c r="T29" s="4">
        <f t="shared" si="0"/>
        <v>900</v>
      </c>
      <c r="U29" s="38">
        <f t="shared" si="1"/>
        <v>0</v>
      </c>
    </row>
    <row r="30" spans="1:21" x14ac:dyDescent="0.2">
      <c r="A30" s="23" t="s">
        <v>37</v>
      </c>
      <c r="B30">
        <f>B29</f>
        <v>140</v>
      </c>
      <c r="C30">
        <f>0.5*C32</f>
        <v>450</v>
      </c>
      <c r="D30">
        <f>2.5*D32</f>
        <v>2000</v>
      </c>
      <c r="E30" s="14">
        <v>1</v>
      </c>
      <c r="S30" s="37" t="s">
        <v>4</v>
      </c>
      <c r="T30" s="4">
        <f t="shared" si="0"/>
        <v>630</v>
      </c>
      <c r="U30" s="38">
        <f t="shared" si="1"/>
        <v>0</v>
      </c>
    </row>
    <row r="31" spans="1:21" x14ac:dyDescent="0.2">
      <c r="A31" s="23" t="s">
        <v>38</v>
      </c>
      <c r="B31">
        <f>B29</f>
        <v>140</v>
      </c>
      <c r="C31">
        <f>0.65*C32</f>
        <v>585</v>
      </c>
      <c r="D31">
        <f>3*D32</f>
        <v>2400</v>
      </c>
      <c r="E31" s="14">
        <v>1</v>
      </c>
      <c r="S31" s="37" t="s">
        <v>13</v>
      </c>
      <c r="T31" s="4">
        <f t="shared" si="0"/>
        <v>630</v>
      </c>
      <c r="U31" s="38">
        <f t="shared" si="1"/>
        <v>140</v>
      </c>
    </row>
    <row r="32" spans="1:21" x14ac:dyDescent="0.2">
      <c r="A32" s="23" t="s">
        <v>39</v>
      </c>
      <c r="B32" s="33">
        <f>100*C61</f>
        <v>700</v>
      </c>
      <c r="C32" s="33">
        <f>100*A61</f>
        <v>900</v>
      </c>
      <c r="D32" s="33">
        <f>100*B61</f>
        <v>800</v>
      </c>
      <c r="E32" s="14">
        <v>1</v>
      </c>
      <c r="S32" s="37"/>
      <c r="T32" s="4"/>
      <c r="U32" s="38"/>
    </row>
    <row r="33" spans="1:21" x14ac:dyDescent="0.2">
      <c r="A33" s="23" t="s">
        <v>6</v>
      </c>
      <c r="B33">
        <v>0</v>
      </c>
      <c r="C33">
        <v>0</v>
      </c>
      <c r="D33">
        <f>3*D32</f>
        <v>2400</v>
      </c>
      <c r="E33" s="29">
        <v>1</v>
      </c>
      <c r="S33" s="37" t="s">
        <v>12</v>
      </c>
      <c r="T33" s="4">
        <f t="shared" si="0"/>
        <v>630</v>
      </c>
      <c r="U33" s="38">
        <f t="shared" si="1"/>
        <v>140</v>
      </c>
    </row>
    <row r="34" spans="1:21" x14ac:dyDescent="0.2">
      <c r="A34" s="23" t="s">
        <v>7</v>
      </c>
      <c r="B34">
        <f>0.2*B32</f>
        <v>140</v>
      </c>
      <c r="C34">
        <v>0</v>
      </c>
      <c r="D34">
        <f>3*D32</f>
        <v>2400</v>
      </c>
      <c r="E34" s="29">
        <v>1</v>
      </c>
      <c r="S34" s="37" t="s">
        <v>29</v>
      </c>
      <c r="T34" s="4">
        <f t="shared" si="0"/>
        <v>630</v>
      </c>
      <c r="U34" s="38">
        <f t="shared" si="1"/>
        <v>0</v>
      </c>
    </row>
    <row r="35" spans="1:21" x14ac:dyDescent="0.2">
      <c r="A35" s="23" t="s">
        <v>8</v>
      </c>
      <c r="B35">
        <f>0.2*B32</f>
        <v>140</v>
      </c>
      <c r="C35">
        <f>0.3*C32</f>
        <v>270</v>
      </c>
      <c r="D35">
        <f>3*D32</f>
        <v>2400</v>
      </c>
      <c r="E35" s="29">
        <v>1</v>
      </c>
      <c r="S35" s="37" t="s">
        <v>9</v>
      </c>
      <c r="T35" s="4">
        <f t="shared" si="0"/>
        <v>270</v>
      </c>
      <c r="U35" s="38">
        <f t="shared" si="1"/>
        <v>0</v>
      </c>
    </row>
    <row r="36" spans="1:21" x14ac:dyDescent="0.2">
      <c r="A36" s="23" t="s">
        <v>5</v>
      </c>
      <c r="B36">
        <f>0.2*B32</f>
        <v>140</v>
      </c>
      <c r="C36">
        <f>0.3*C32</f>
        <v>270</v>
      </c>
      <c r="D36">
        <f>5*D32</f>
        <v>4000</v>
      </c>
      <c r="E36" s="29">
        <v>1</v>
      </c>
      <c r="S36" s="37" t="s">
        <v>5</v>
      </c>
      <c r="T36" s="4">
        <f t="shared" si="0"/>
        <v>270</v>
      </c>
      <c r="U36" s="38">
        <f t="shared" si="1"/>
        <v>140</v>
      </c>
    </row>
    <row r="37" spans="1:21" x14ac:dyDescent="0.2">
      <c r="A37" s="23" t="s">
        <v>9</v>
      </c>
      <c r="B37">
        <v>0</v>
      </c>
      <c r="C37">
        <f>0.3*C32</f>
        <v>270</v>
      </c>
      <c r="D37">
        <f>5*D32</f>
        <v>4000</v>
      </c>
      <c r="E37" s="29">
        <v>1</v>
      </c>
      <c r="S37" s="37" t="s">
        <v>12</v>
      </c>
      <c r="T37" s="4">
        <f t="shared" si="0"/>
        <v>630</v>
      </c>
      <c r="U37" s="38">
        <f t="shared" si="1"/>
        <v>140</v>
      </c>
    </row>
    <row r="38" spans="1:21" x14ac:dyDescent="0.2">
      <c r="A38" s="23" t="s">
        <v>10</v>
      </c>
      <c r="B38">
        <v>0</v>
      </c>
      <c r="C38">
        <f>0.3*C32</f>
        <v>270</v>
      </c>
      <c r="D38">
        <f>3*D32</f>
        <v>2400</v>
      </c>
      <c r="E38" s="40">
        <v>1</v>
      </c>
      <c r="S38" s="37"/>
      <c r="T38" s="4"/>
      <c r="U38" s="38"/>
    </row>
    <row r="39" spans="1:21" x14ac:dyDescent="0.2">
      <c r="A39" s="23" t="s">
        <v>4</v>
      </c>
      <c r="B39">
        <v>0</v>
      </c>
      <c r="C39">
        <f>0.7*C32</f>
        <v>630</v>
      </c>
      <c r="D39">
        <f>3*D32</f>
        <v>2400</v>
      </c>
      <c r="E39" s="29">
        <v>1</v>
      </c>
      <c r="S39" s="37" t="s">
        <v>6</v>
      </c>
      <c r="T39" s="4">
        <f t="shared" si="0"/>
        <v>0</v>
      </c>
      <c r="U39" s="38">
        <f t="shared" si="1"/>
        <v>0</v>
      </c>
    </row>
    <row r="40" spans="1:21" x14ac:dyDescent="0.2">
      <c r="A40" s="23" t="s">
        <v>11</v>
      </c>
      <c r="B40">
        <v>0</v>
      </c>
      <c r="C40">
        <f>0.7*C32</f>
        <v>630</v>
      </c>
      <c r="D40">
        <f>5*D32</f>
        <v>4000</v>
      </c>
      <c r="E40" s="14">
        <v>1</v>
      </c>
      <c r="S40" s="37" t="s">
        <v>3</v>
      </c>
      <c r="T40" s="4">
        <f t="shared" si="0"/>
        <v>0</v>
      </c>
      <c r="U40" s="38">
        <f t="shared" si="1"/>
        <v>0</v>
      </c>
    </row>
    <row r="41" spans="1:21" x14ac:dyDescent="0.2">
      <c r="A41" s="23" t="s">
        <v>12</v>
      </c>
      <c r="B41">
        <f>0.2*B32</f>
        <v>140</v>
      </c>
      <c r="C41">
        <f>0.7*C32</f>
        <v>630</v>
      </c>
      <c r="D41">
        <f>5*D32</f>
        <v>4000</v>
      </c>
      <c r="E41" s="14">
        <v>1</v>
      </c>
      <c r="S41" s="37" t="s">
        <v>21</v>
      </c>
      <c r="T41" s="4">
        <f t="shared" si="0"/>
        <v>900</v>
      </c>
      <c r="U41" s="38">
        <f t="shared" si="1"/>
        <v>0</v>
      </c>
    </row>
    <row r="42" spans="1:21" x14ac:dyDescent="0.2">
      <c r="A42" s="23" t="s">
        <v>13</v>
      </c>
      <c r="B42">
        <f>0.2*B32</f>
        <v>140</v>
      </c>
      <c r="C42">
        <f>0.7*C32</f>
        <v>630</v>
      </c>
      <c r="D42">
        <f>3*D32</f>
        <v>2400</v>
      </c>
      <c r="E42" s="14">
        <v>1</v>
      </c>
      <c r="S42" s="37" t="s">
        <v>15</v>
      </c>
      <c r="T42" s="4">
        <f t="shared" si="0"/>
        <v>900</v>
      </c>
      <c r="U42" s="38">
        <f t="shared" si="1"/>
        <v>0</v>
      </c>
    </row>
    <row r="43" spans="1:21" x14ac:dyDescent="0.2">
      <c r="A43" s="23" t="s">
        <v>14</v>
      </c>
      <c r="B43">
        <f>0.2*B32</f>
        <v>140</v>
      </c>
      <c r="C43">
        <f>C32</f>
        <v>900</v>
      </c>
      <c r="D43">
        <f>3*D32</f>
        <v>2400</v>
      </c>
      <c r="E43" s="14">
        <v>1</v>
      </c>
      <c r="S43" s="37" t="s">
        <v>4</v>
      </c>
      <c r="T43" s="4">
        <f t="shared" si="0"/>
        <v>630</v>
      </c>
      <c r="U43" s="38">
        <f t="shared" si="1"/>
        <v>0</v>
      </c>
    </row>
    <row r="44" spans="1:21" x14ac:dyDescent="0.2">
      <c r="A44" s="12" t="s">
        <v>15</v>
      </c>
      <c r="B44" s="6">
        <v>0</v>
      </c>
      <c r="C44">
        <f>C32</f>
        <v>900</v>
      </c>
      <c r="D44">
        <f>3*D32</f>
        <v>2400</v>
      </c>
      <c r="E44" s="14">
        <v>1</v>
      </c>
      <c r="S44" s="37" t="s">
        <v>29</v>
      </c>
      <c r="T44" s="4">
        <f t="shared" si="0"/>
        <v>630</v>
      </c>
      <c r="U44" s="38">
        <f t="shared" si="1"/>
        <v>0</v>
      </c>
    </row>
    <row r="45" spans="1:21" x14ac:dyDescent="0.2">
      <c r="A45" s="13" t="s">
        <v>21</v>
      </c>
      <c r="B45" s="6">
        <v>0</v>
      </c>
      <c r="C45">
        <f>C32</f>
        <v>900</v>
      </c>
      <c r="D45">
        <v>0</v>
      </c>
      <c r="E45" s="14">
        <v>1</v>
      </c>
      <c r="S45" s="37" t="s">
        <v>9</v>
      </c>
      <c r="T45" s="4">
        <f t="shared" si="0"/>
        <v>270</v>
      </c>
      <c r="U45" s="38">
        <f t="shared" si="1"/>
        <v>0</v>
      </c>
    </row>
    <row r="46" spans="1:21" x14ac:dyDescent="0.2">
      <c r="A46" s="13" t="s">
        <v>22</v>
      </c>
      <c r="B46" s="6">
        <f>0.7*B32</f>
        <v>489.99999999999994</v>
      </c>
      <c r="C46">
        <f>C32</f>
        <v>900</v>
      </c>
      <c r="D46">
        <v>0</v>
      </c>
      <c r="E46" s="14">
        <v>1</v>
      </c>
      <c r="S46" s="37" t="s">
        <v>10</v>
      </c>
      <c r="T46" s="4">
        <f t="shared" si="0"/>
        <v>270</v>
      </c>
      <c r="U46" s="38">
        <f t="shared" si="1"/>
        <v>0</v>
      </c>
    </row>
    <row r="47" spans="1:21" x14ac:dyDescent="0.2">
      <c r="A47" s="13" t="s">
        <v>23</v>
      </c>
      <c r="B47" s="6">
        <f>0.7*B32</f>
        <v>489.99999999999994</v>
      </c>
      <c r="C47">
        <f>C32</f>
        <v>900</v>
      </c>
      <c r="D47">
        <f>D32</f>
        <v>800</v>
      </c>
      <c r="E47" s="14">
        <v>1</v>
      </c>
      <c r="S47" s="37" t="s">
        <v>6</v>
      </c>
      <c r="T47" s="4">
        <f t="shared" si="0"/>
        <v>0</v>
      </c>
      <c r="U47" s="38">
        <f t="shared" si="1"/>
        <v>0</v>
      </c>
    </row>
    <row r="48" spans="1:21" x14ac:dyDescent="0.2">
      <c r="A48" s="13" t="s">
        <v>17</v>
      </c>
      <c r="B48" s="6">
        <f>0.2*B32</f>
        <v>140</v>
      </c>
      <c r="C48">
        <f>C32</f>
        <v>900</v>
      </c>
      <c r="D48">
        <f>D32</f>
        <v>800</v>
      </c>
      <c r="E48" s="14">
        <v>1</v>
      </c>
      <c r="S48" s="37"/>
      <c r="T48" s="4"/>
      <c r="U48" s="38"/>
    </row>
    <row r="49" spans="1:21" x14ac:dyDescent="0.2">
      <c r="A49" s="13" t="s">
        <v>16</v>
      </c>
      <c r="B49" s="6">
        <f>0.2*B32</f>
        <v>140</v>
      </c>
      <c r="C49">
        <v>0</v>
      </c>
      <c r="D49">
        <f>D32</f>
        <v>800</v>
      </c>
      <c r="E49" s="14">
        <v>1</v>
      </c>
      <c r="S49" s="37" t="s">
        <v>7</v>
      </c>
      <c r="T49" s="4">
        <f t="shared" si="0"/>
        <v>0</v>
      </c>
      <c r="U49" s="38">
        <f t="shared" si="1"/>
        <v>140</v>
      </c>
    </row>
    <row r="50" spans="1:21" x14ac:dyDescent="0.2">
      <c r="A50" s="13" t="s">
        <v>24</v>
      </c>
      <c r="B50" s="6">
        <f>B32</f>
        <v>700</v>
      </c>
      <c r="C50">
        <v>0</v>
      </c>
      <c r="D50">
        <f>D32</f>
        <v>800</v>
      </c>
      <c r="E50" s="14">
        <v>1</v>
      </c>
      <c r="S50" s="37" t="s">
        <v>16</v>
      </c>
      <c r="T50" s="4">
        <f t="shared" si="0"/>
        <v>0</v>
      </c>
      <c r="U50" s="38">
        <f t="shared" si="1"/>
        <v>140</v>
      </c>
    </row>
    <row r="51" spans="1:21" x14ac:dyDescent="0.2">
      <c r="A51" s="13" t="s">
        <v>25</v>
      </c>
      <c r="B51" s="6">
        <f>B32</f>
        <v>700</v>
      </c>
      <c r="C51">
        <v>0</v>
      </c>
      <c r="D51">
        <v>0</v>
      </c>
      <c r="E51" s="14">
        <v>1</v>
      </c>
      <c r="S51" s="37" t="s">
        <v>17</v>
      </c>
      <c r="T51" s="4">
        <f t="shared" si="0"/>
        <v>900</v>
      </c>
      <c r="U51" s="38">
        <f t="shared" si="1"/>
        <v>140</v>
      </c>
    </row>
    <row r="52" spans="1:21" x14ac:dyDescent="0.2">
      <c r="A52" s="13" t="s">
        <v>26</v>
      </c>
      <c r="B52" s="6">
        <f>B32</f>
        <v>700</v>
      </c>
      <c r="C52">
        <f>0.4*C32</f>
        <v>360</v>
      </c>
      <c r="D52">
        <v>0</v>
      </c>
      <c r="E52" s="14">
        <v>1</v>
      </c>
      <c r="S52" s="37" t="s">
        <v>14</v>
      </c>
      <c r="T52" s="4">
        <f t="shared" si="0"/>
        <v>900</v>
      </c>
      <c r="U52" s="38">
        <f t="shared" si="1"/>
        <v>140</v>
      </c>
    </row>
    <row r="53" spans="1:21" x14ac:dyDescent="0.2">
      <c r="A53" s="13" t="s">
        <v>27</v>
      </c>
      <c r="B53" s="6">
        <f>B32</f>
        <v>700</v>
      </c>
      <c r="C53">
        <f>0.4*C32</f>
        <v>360</v>
      </c>
      <c r="D53">
        <f>D32</f>
        <v>800</v>
      </c>
      <c r="E53" s="14">
        <v>1</v>
      </c>
      <c r="S53" s="37" t="s">
        <v>13</v>
      </c>
      <c r="T53" s="4">
        <f t="shared" si="0"/>
        <v>630</v>
      </c>
      <c r="U53" s="38">
        <f t="shared" si="1"/>
        <v>140</v>
      </c>
    </row>
    <row r="54" spans="1:21" x14ac:dyDescent="0.2">
      <c r="A54" s="13" t="s">
        <v>28</v>
      </c>
      <c r="B54" s="6">
        <f>0.7*B32</f>
        <v>489.99999999999994</v>
      </c>
      <c r="C54">
        <f>0.4*C32</f>
        <v>360</v>
      </c>
      <c r="D54">
        <f>D32</f>
        <v>800</v>
      </c>
      <c r="E54" s="14">
        <v>1</v>
      </c>
      <c r="S54" s="37" t="s">
        <v>12</v>
      </c>
      <c r="T54" s="4">
        <f t="shared" si="0"/>
        <v>630</v>
      </c>
      <c r="U54" s="38">
        <f t="shared" si="1"/>
        <v>140</v>
      </c>
    </row>
    <row r="55" spans="1:21" x14ac:dyDescent="0.2">
      <c r="A55" s="14" t="s">
        <v>0</v>
      </c>
      <c r="B55">
        <f>0.7*B32</f>
        <v>489.99999999999994</v>
      </c>
      <c r="C55">
        <f>0.4*C32</f>
        <v>360</v>
      </c>
      <c r="D55">
        <v>0</v>
      </c>
      <c r="E55" s="14">
        <v>1</v>
      </c>
      <c r="S55" s="37" t="s">
        <v>5</v>
      </c>
      <c r="T55" s="4">
        <f t="shared" si="0"/>
        <v>270</v>
      </c>
      <c r="U55" s="38">
        <f t="shared" si="1"/>
        <v>140</v>
      </c>
    </row>
    <row r="56" spans="1:21" x14ac:dyDescent="0.2">
      <c r="A56" s="14" t="s">
        <v>1</v>
      </c>
      <c r="B56">
        <f>0.25*B32</f>
        <v>175</v>
      </c>
      <c r="C56">
        <f>0.15*C32</f>
        <v>135</v>
      </c>
      <c r="D56">
        <f>D32</f>
        <v>800</v>
      </c>
      <c r="E56" s="14">
        <v>1</v>
      </c>
      <c r="S56" s="37" t="s">
        <v>8</v>
      </c>
      <c r="T56" s="4">
        <f t="shared" si="0"/>
        <v>270</v>
      </c>
      <c r="U56" s="38">
        <f t="shared" si="1"/>
        <v>140</v>
      </c>
    </row>
    <row r="57" spans="1:21" ht="13.5" thickBot="1" x14ac:dyDescent="0.25">
      <c r="A57" s="16" t="s">
        <v>2</v>
      </c>
      <c r="B57" s="28">
        <f>0.6*B32</f>
        <v>420</v>
      </c>
      <c r="C57" s="8">
        <f>0.15*C32</f>
        <v>135</v>
      </c>
      <c r="D57" s="8">
        <f>D32</f>
        <v>800</v>
      </c>
      <c r="E57" s="16">
        <v>1</v>
      </c>
      <c r="S57" s="37" t="s">
        <v>7</v>
      </c>
      <c r="T57" s="4">
        <f t="shared" si="0"/>
        <v>0</v>
      </c>
      <c r="U57" s="38">
        <f t="shared" si="1"/>
        <v>140</v>
      </c>
    </row>
    <row r="58" spans="1:21" x14ac:dyDescent="0.2">
      <c r="A58" s="5"/>
      <c r="S58" s="37"/>
      <c r="T58" s="4"/>
      <c r="U58" s="38"/>
    </row>
    <row r="59" spans="1:21" x14ac:dyDescent="0.2">
      <c r="A59" s="41"/>
      <c r="S59" s="37" t="s">
        <v>28</v>
      </c>
      <c r="T59" s="4">
        <f t="shared" si="0"/>
        <v>360</v>
      </c>
      <c r="U59" s="38">
        <f t="shared" si="1"/>
        <v>489.99999999999994</v>
      </c>
    </row>
    <row r="60" spans="1:21" ht="15" x14ac:dyDescent="0.25">
      <c r="A60" s="49" t="s">
        <v>48</v>
      </c>
      <c r="S60" s="37" t="s">
        <v>0</v>
      </c>
      <c r="T60" s="4">
        <f t="shared" si="0"/>
        <v>360</v>
      </c>
      <c r="U60" s="38">
        <f t="shared" si="1"/>
        <v>489.99999999999994</v>
      </c>
    </row>
    <row r="61" spans="1:21" ht="15" x14ac:dyDescent="0.25">
      <c r="A61" s="48">
        <v>9</v>
      </c>
      <c r="B61" s="55">
        <v>8</v>
      </c>
      <c r="C61" s="55">
        <v>7</v>
      </c>
      <c r="S61" s="37" t="s">
        <v>22</v>
      </c>
      <c r="T61" s="4">
        <f t="shared" si="0"/>
        <v>900</v>
      </c>
      <c r="U61" s="38">
        <f t="shared" si="1"/>
        <v>489.99999999999994</v>
      </c>
    </row>
    <row r="62" spans="1:21" x14ac:dyDescent="0.2">
      <c r="S62" s="37" t="s">
        <v>23</v>
      </c>
      <c r="T62" s="4">
        <f t="shared" si="0"/>
        <v>900</v>
      </c>
      <c r="U62" s="38">
        <f t="shared" si="1"/>
        <v>489.99999999999994</v>
      </c>
    </row>
    <row r="63" spans="1:21" ht="15" x14ac:dyDescent="0.25">
      <c r="A63" s="50" t="s">
        <v>47</v>
      </c>
      <c r="B63" s="51"/>
      <c r="S63" s="37" t="s">
        <v>28</v>
      </c>
      <c r="T63" s="4">
        <f t="shared" si="0"/>
        <v>360</v>
      </c>
      <c r="U63" s="38">
        <f t="shared" si="1"/>
        <v>489.99999999999994</v>
      </c>
    </row>
    <row r="64" spans="1:21" ht="15" x14ac:dyDescent="0.25">
      <c r="A64" s="55" t="s">
        <v>0</v>
      </c>
      <c r="B64" s="55" t="s">
        <v>1</v>
      </c>
      <c r="C64" s="55" t="s">
        <v>2</v>
      </c>
      <c r="D64" s="55"/>
      <c r="S64" s="37"/>
      <c r="T64" s="4"/>
      <c r="U64" s="38"/>
    </row>
    <row r="65" spans="1:21" ht="15" x14ac:dyDescent="0.25">
      <c r="A65" s="55">
        <f>B30-D12</f>
        <v>-1318.8162258439775</v>
      </c>
      <c r="B65" s="55">
        <f>C30-E12</f>
        <v>-1821.9716589813206</v>
      </c>
      <c r="C65" s="55">
        <f>D30-F12</f>
        <v>-4400</v>
      </c>
      <c r="D65" s="55" t="s">
        <v>51</v>
      </c>
      <c r="G65" s="13"/>
      <c r="S65" s="37" t="s">
        <v>24</v>
      </c>
      <c r="T65" s="4">
        <f t="shared" si="0"/>
        <v>0</v>
      </c>
      <c r="U65" s="38">
        <f t="shared" si="1"/>
        <v>700</v>
      </c>
    </row>
    <row r="66" spans="1:21" x14ac:dyDescent="0.2">
      <c r="S66" s="37" t="s">
        <v>25</v>
      </c>
      <c r="T66" s="4">
        <f t="shared" si="0"/>
        <v>0</v>
      </c>
      <c r="U66" s="38">
        <f t="shared" ref="U66:U80" si="2">VLOOKUP(S66, $A$25:$E$57,  2)</f>
        <v>700</v>
      </c>
    </row>
    <row r="67" spans="1:21" ht="15" x14ac:dyDescent="0.25">
      <c r="A67" s="55" t="s">
        <v>45</v>
      </c>
      <c r="B67" s="55"/>
      <c r="C67" s="55"/>
      <c r="D67" s="55"/>
      <c r="S67" s="37" t="s">
        <v>26</v>
      </c>
      <c r="T67" s="4">
        <f t="shared" si="0"/>
        <v>360</v>
      </c>
      <c r="U67" s="38">
        <f t="shared" si="2"/>
        <v>700</v>
      </c>
    </row>
    <row r="68" spans="1:21" ht="15" x14ac:dyDescent="0.25">
      <c r="A68" s="55" t="s">
        <v>0</v>
      </c>
      <c r="B68" s="55" t="s">
        <v>1</v>
      </c>
      <c r="C68" s="55" t="s">
        <v>2</v>
      </c>
      <c r="D68" s="55"/>
      <c r="S68" s="37" t="s">
        <v>27</v>
      </c>
      <c r="T68" s="4">
        <f t="shared" si="0"/>
        <v>360</v>
      </c>
      <c r="U68" s="38">
        <f t="shared" si="2"/>
        <v>700</v>
      </c>
    </row>
    <row r="69" spans="1:21" ht="15" x14ac:dyDescent="0.25">
      <c r="A69" s="55">
        <f>A65/SQRT(SUMSQ(A65,B65,C65))</f>
        <v>-0.26688343352430827</v>
      </c>
      <c r="B69" s="55">
        <f>B65/SQRT(SUMSQ(A65,B65,C65))</f>
        <v>-0.36870493599040782</v>
      </c>
      <c r="C69" s="55">
        <f>C65/SQRT(SUMSQ(A65,B65,C65))</f>
        <v>-0.89040996349242707</v>
      </c>
      <c r="D69" s="55" t="s">
        <v>50</v>
      </c>
      <c r="S69" s="37" t="s">
        <v>24</v>
      </c>
      <c r="T69" s="4">
        <f t="shared" ref="T69:T80" si="3">VLOOKUP(S69, $A$25:$E$57, 3)</f>
        <v>0</v>
      </c>
      <c r="U69" s="38">
        <f t="shared" si="2"/>
        <v>700</v>
      </c>
    </row>
    <row r="70" spans="1:21" x14ac:dyDescent="0.2">
      <c r="S70" s="37"/>
      <c r="T70" s="4"/>
      <c r="U70" s="38"/>
    </row>
    <row r="71" spans="1:21" ht="15" x14ac:dyDescent="0.25">
      <c r="A71" s="52" t="s">
        <v>46</v>
      </c>
      <c r="D71" s="51"/>
      <c r="S71" s="37" t="s">
        <v>1</v>
      </c>
      <c r="T71" s="4">
        <f t="shared" si="3"/>
        <v>135</v>
      </c>
      <c r="U71" s="38">
        <f t="shared" si="2"/>
        <v>175</v>
      </c>
    </row>
    <row r="72" spans="1:21" ht="15" x14ac:dyDescent="0.25">
      <c r="A72" s="55" t="s">
        <v>49</v>
      </c>
      <c r="B72" s="55"/>
      <c r="C72" s="55"/>
      <c r="S72" s="37" t="s">
        <v>2</v>
      </c>
      <c r="T72" s="4">
        <f t="shared" si="3"/>
        <v>135</v>
      </c>
      <c r="U72" s="38">
        <f t="shared" si="2"/>
        <v>420</v>
      </c>
    </row>
    <row r="73" spans="1:21" ht="15" x14ac:dyDescent="0.25">
      <c r="A73" s="55">
        <v>0</v>
      </c>
      <c r="B73" s="55">
        <v>0</v>
      </c>
      <c r="C73" s="55">
        <v>1</v>
      </c>
      <c r="S73" s="37" t="s">
        <v>32</v>
      </c>
      <c r="T73" s="4">
        <f t="shared" si="3"/>
        <v>450</v>
      </c>
      <c r="U73" s="38">
        <f t="shared" si="2"/>
        <v>420</v>
      </c>
    </row>
    <row r="74" spans="1:21" x14ac:dyDescent="0.2">
      <c r="S74" s="37"/>
      <c r="T74" s="4"/>
      <c r="U74" s="38"/>
    </row>
    <row r="75" spans="1:21" x14ac:dyDescent="0.2">
      <c r="A75" s="51"/>
      <c r="S75" s="42" t="s">
        <v>30</v>
      </c>
      <c r="T75" s="4">
        <f t="shared" si="3"/>
        <v>270</v>
      </c>
      <c r="U75" s="38">
        <f t="shared" si="2"/>
        <v>244.99999999999997</v>
      </c>
    </row>
    <row r="76" spans="1:21" ht="15" x14ac:dyDescent="0.25">
      <c r="A76" s="55" t="s">
        <v>0</v>
      </c>
      <c r="B76" s="55" t="s">
        <v>1</v>
      </c>
      <c r="C76" s="55" t="s">
        <v>2</v>
      </c>
      <c r="D76" s="55"/>
      <c r="S76" s="42" t="s">
        <v>31</v>
      </c>
      <c r="T76" s="4">
        <f t="shared" si="3"/>
        <v>270</v>
      </c>
      <c r="U76" s="38">
        <f t="shared" si="2"/>
        <v>665</v>
      </c>
    </row>
    <row r="77" spans="1:21" ht="15" x14ac:dyDescent="0.25">
      <c r="A77" s="55">
        <f>A73-SUMPRODUCT(A73:C73,A69:C69)*A69</f>
        <v>-0.23763566830111291</v>
      </c>
      <c r="B77" s="55">
        <f>B73-SUMPRODUCT(A73:C73,A69:C69)*B69</f>
        <v>-0.3282985485946967</v>
      </c>
      <c r="C77" s="55">
        <f>C73-SUMPRODUCT(A73:C73,A69:C69)*C69</f>
        <v>0.2071700969134147</v>
      </c>
      <c r="D77" s="55" t="s">
        <v>52</v>
      </c>
      <c r="S77" s="42"/>
      <c r="T77" s="4"/>
      <c r="U77" s="38"/>
    </row>
    <row r="78" spans="1:21" x14ac:dyDescent="0.2">
      <c r="S78" s="42" t="s">
        <v>34</v>
      </c>
      <c r="T78" s="4">
        <f t="shared" si="3"/>
        <v>315</v>
      </c>
      <c r="U78" s="38">
        <f t="shared" si="2"/>
        <v>140</v>
      </c>
    </row>
    <row r="79" spans="1:21" ht="15" x14ac:dyDescent="0.25">
      <c r="A79" s="55" t="s">
        <v>45</v>
      </c>
      <c r="B79" s="55"/>
      <c r="C79" s="55"/>
      <c r="D79" s="55"/>
      <c r="S79" s="42" t="s">
        <v>37</v>
      </c>
      <c r="T79" s="4">
        <f t="shared" si="3"/>
        <v>450</v>
      </c>
      <c r="U79" s="38">
        <f t="shared" si="2"/>
        <v>140</v>
      </c>
    </row>
    <row r="80" spans="1:21" ht="15.75" thickBot="1" x14ac:dyDescent="0.3">
      <c r="A80" s="55" t="s">
        <v>0</v>
      </c>
      <c r="B80" s="55" t="s">
        <v>1</v>
      </c>
      <c r="C80" s="55" t="s">
        <v>2</v>
      </c>
      <c r="D80" s="55"/>
      <c r="S80" s="43" t="s">
        <v>38</v>
      </c>
      <c r="T80" s="44">
        <f t="shared" si="3"/>
        <v>585</v>
      </c>
      <c r="U80" s="45">
        <f t="shared" si="2"/>
        <v>140</v>
      </c>
    </row>
    <row r="81" spans="1:5" ht="15.75" thickTop="1" x14ac:dyDescent="0.25">
      <c r="A81" s="55">
        <f>A77/SQRT(SUMSQ(A77,B77,C77))</f>
        <v>-0.52209326724104832</v>
      </c>
      <c r="B81" s="55">
        <f>B77/SQRT(SUMSQ(A77,B77,C77))</f>
        <v>-0.72128255447373235</v>
      </c>
      <c r="C81" s="55">
        <f>C77/SQRT(SUMSQ(A77,B77,C77))</f>
        <v>0.45515941922958686</v>
      </c>
      <c r="D81" s="55" t="s">
        <v>53</v>
      </c>
    </row>
    <row r="83" spans="1:5" ht="15" x14ac:dyDescent="0.25">
      <c r="A83" s="52" t="s">
        <v>54</v>
      </c>
    </row>
    <row r="84" spans="1:5" ht="15" x14ac:dyDescent="0.25">
      <c r="A84" s="55" t="s">
        <v>0</v>
      </c>
      <c r="B84" s="55" t="s">
        <v>1</v>
      </c>
      <c r="C84" s="55" t="s">
        <v>2</v>
      </c>
      <c r="D84" s="55"/>
    </row>
    <row r="85" spans="1:5" ht="15" x14ac:dyDescent="0.25">
      <c r="A85" s="55">
        <f>B69*C81-B81*C69</f>
        <v>-0.81005669752915666</v>
      </c>
      <c r="B85" s="55">
        <f>C69*A81-C81*A69</f>
        <v>0.58635155562866603</v>
      </c>
      <c r="C85" s="55">
        <f>A69*B81-A81*B69</f>
        <v>0</v>
      </c>
      <c r="D85" s="55" t="s">
        <v>55</v>
      </c>
    </row>
    <row r="87" spans="1:5" ht="15" x14ac:dyDescent="0.25">
      <c r="A87" s="52" t="s">
        <v>56</v>
      </c>
    </row>
    <row r="89" spans="1:5" ht="15" x14ac:dyDescent="0.25">
      <c r="A89" s="55" t="s">
        <v>0</v>
      </c>
      <c r="B89" s="55" t="s">
        <v>1</v>
      </c>
      <c r="C89" s="55" t="s">
        <v>0</v>
      </c>
      <c r="D89" s="55"/>
      <c r="E89" s="55" t="s">
        <v>57</v>
      </c>
    </row>
    <row r="90" spans="1:5" ht="15" x14ac:dyDescent="0.25">
      <c r="A90" s="55">
        <v>1</v>
      </c>
      <c r="B90" s="55">
        <v>0</v>
      </c>
      <c r="C90" s="55">
        <v>0</v>
      </c>
      <c r="D90" s="55">
        <v>0</v>
      </c>
      <c r="E90" s="55"/>
    </row>
    <row r="91" spans="1:5" ht="15" x14ac:dyDescent="0.25">
      <c r="A91" s="55">
        <v>0</v>
      </c>
      <c r="B91" s="55">
        <v>1</v>
      </c>
      <c r="C91" s="55">
        <v>0</v>
      </c>
      <c r="D91" s="55">
        <v>0</v>
      </c>
      <c r="E91" s="55"/>
    </row>
    <row r="92" spans="1:5" ht="15" x14ac:dyDescent="0.25">
      <c r="A92" s="55">
        <v>0</v>
      </c>
      <c r="B92" s="55">
        <v>0</v>
      </c>
      <c r="C92" s="55">
        <v>1</v>
      </c>
      <c r="D92" s="55">
        <v>0</v>
      </c>
      <c r="E92" s="55"/>
    </row>
    <row r="93" spans="1:5" ht="15" x14ac:dyDescent="0.25">
      <c r="A93" s="55">
        <f>(-D12)</f>
        <v>-1458.8162258439775</v>
      </c>
      <c r="B93" s="55">
        <f>(-E12)</f>
        <v>-2271.9716589813206</v>
      </c>
      <c r="C93" s="55">
        <f>(-F12)</f>
        <v>-6400</v>
      </c>
      <c r="D93" s="55">
        <v>1</v>
      </c>
      <c r="E93" s="55"/>
    </row>
    <row r="95" spans="1:5" ht="15" x14ac:dyDescent="0.25">
      <c r="A95" s="55" t="s">
        <v>0</v>
      </c>
      <c r="B95" s="55" t="s">
        <v>1</v>
      </c>
      <c r="C95" s="55" t="s">
        <v>2</v>
      </c>
      <c r="D95" s="55"/>
      <c r="E95" s="55" t="s">
        <v>58</v>
      </c>
    </row>
    <row r="96" spans="1:5" ht="15" x14ac:dyDescent="0.25">
      <c r="A96" s="55">
        <f>A85</f>
        <v>-0.81005669752915666</v>
      </c>
      <c r="B96" s="55">
        <f>A81</f>
        <v>-0.52209326724104832</v>
      </c>
      <c r="C96" s="55">
        <f>A69</f>
        <v>-0.26688343352430827</v>
      </c>
      <c r="D96" s="55">
        <v>0</v>
      </c>
      <c r="E96" s="55"/>
    </row>
    <row r="97" spans="1:10" ht="15" x14ac:dyDescent="0.25">
      <c r="A97" s="55">
        <f>B85</f>
        <v>0.58635155562866603</v>
      </c>
      <c r="B97" s="55">
        <f>B81</f>
        <v>-0.72128255447373235</v>
      </c>
      <c r="C97" s="55">
        <f>B69</f>
        <v>-0.36870493599040782</v>
      </c>
      <c r="D97" s="55">
        <v>0</v>
      </c>
      <c r="E97" s="55"/>
    </row>
    <row r="98" spans="1:10" ht="15" x14ac:dyDescent="0.25">
      <c r="A98" s="55">
        <f>C85</f>
        <v>0</v>
      </c>
      <c r="B98" s="55">
        <f>C81</f>
        <v>0.45515941922958686</v>
      </c>
      <c r="C98" s="55">
        <f>C69</f>
        <v>-0.89040996349242707</v>
      </c>
      <c r="D98" s="55">
        <v>0</v>
      </c>
      <c r="E98" s="55"/>
    </row>
    <row r="99" spans="1:10" ht="15" x14ac:dyDescent="0.25">
      <c r="A99" s="55">
        <v>0</v>
      </c>
      <c r="B99" s="55">
        <v>0</v>
      </c>
      <c r="C99" s="55">
        <v>0</v>
      </c>
      <c r="D99" s="55">
        <v>1</v>
      </c>
      <c r="E99" s="55"/>
    </row>
    <row r="101" spans="1:10" ht="15" x14ac:dyDescent="0.25">
      <c r="A101" s="55" t="s">
        <v>0</v>
      </c>
      <c r="B101" s="55" t="s">
        <v>1</v>
      </c>
      <c r="C101" s="55" t="s">
        <v>2</v>
      </c>
      <c r="D101" s="55"/>
      <c r="E101" s="55" t="s">
        <v>59</v>
      </c>
      <c r="G101" s="55" t="s">
        <v>60</v>
      </c>
      <c r="H101" s="55"/>
      <c r="I101" s="55"/>
      <c r="J101" s="55"/>
    </row>
    <row r="102" spans="1:10" ht="15" x14ac:dyDescent="0.25">
      <c r="A102" s="55">
        <f>A85</f>
        <v>-0.81005669752915666</v>
      </c>
      <c r="B102" s="55">
        <f>B85</f>
        <v>0.58635155562866603</v>
      </c>
      <c r="C102" s="55">
        <f>C85</f>
        <v>0</v>
      </c>
      <c r="D102" s="55">
        <v>0</v>
      </c>
      <c r="E102" s="55"/>
      <c r="G102" s="55">
        <f t="array" ref="G102:J105">MMULT(A102:D105,A96:D99)</f>
        <v>1.0000000000000002</v>
      </c>
      <c r="H102" s="55">
        <v>5.5511151231257827E-17</v>
      </c>
      <c r="I102" s="55">
        <v>0</v>
      </c>
      <c r="J102" s="55">
        <v>0</v>
      </c>
    </row>
    <row r="103" spans="1:10" ht="15" x14ac:dyDescent="0.25">
      <c r="A103" s="55">
        <f>A81</f>
        <v>-0.52209326724104832</v>
      </c>
      <c r="B103" s="55">
        <f>B81</f>
        <v>-0.72128255447373235</v>
      </c>
      <c r="C103" s="55">
        <f>C81</f>
        <v>0.45515941922958686</v>
      </c>
      <c r="D103" s="55">
        <v>0</v>
      </c>
      <c r="E103" s="55"/>
      <c r="G103" s="55">
        <v>5.5511151231257827E-17</v>
      </c>
      <c r="H103" s="55">
        <v>1</v>
      </c>
      <c r="I103" s="55">
        <v>-2.2204460492503131E-16</v>
      </c>
      <c r="J103" s="55">
        <v>0</v>
      </c>
    </row>
    <row r="104" spans="1:10" ht="15" x14ac:dyDescent="0.25">
      <c r="A104" s="55">
        <f>A69</f>
        <v>-0.26688343352430827</v>
      </c>
      <c r="B104" s="55">
        <f>B69</f>
        <v>-0.36870493599040782</v>
      </c>
      <c r="C104" s="55">
        <f>C69</f>
        <v>-0.89040996349242707</v>
      </c>
      <c r="D104" s="55">
        <v>0</v>
      </c>
      <c r="E104" s="55"/>
      <c r="G104" s="55">
        <v>0</v>
      </c>
      <c r="H104" s="55">
        <v>-2.2204460492503131E-16</v>
      </c>
      <c r="I104" s="55">
        <v>0.99999999999999989</v>
      </c>
      <c r="J104" s="55">
        <v>0</v>
      </c>
    </row>
    <row r="105" spans="1:10" ht="15" x14ac:dyDescent="0.25">
      <c r="A105" s="55">
        <v>0</v>
      </c>
      <c r="B105" s="55">
        <v>0</v>
      </c>
      <c r="C105" s="55">
        <v>0</v>
      </c>
      <c r="D105" s="55">
        <v>1</v>
      </c>
      <c r="E105" s="55"/>
      <c r="G105" s="55">
        <v>0</v>
      </c>
      <c r="H105" s="55">
        <v>0</v>
      </c>
      <c r="I105" s="55">
        <v>0</v>
      </c>
      <c r="J105" s="55">
        <v>1</v>
      </c>
    </row>
    <row r="107" spans="1:10" ht="15" x14ac:dyDescent="0.25">
      <c r="A107" s="55" t="s">
        <v>0</v>
      </c>
      <c r="B107" s="55" t="s">
        <v>1</v>
      </c>
      <c r="C107" s="55" t="s">
        <v>2</v>
      </c>
      <c r="D107" s="55"/>
      <c r="E107" s="55" t="s">
        <v>61</v>
      </c>
    </row>
    <row r="108" spans="1:10" ht="15" x14ac:dyDescent="0.25">
      <c r="A108" s="55">
        <f t="array" ref="A108:D111">MMULT(A90:D93,A96:D99)</f>
        <v>-0.81005669752915666</v>
      </c>
      <c r="B108" s="55">
        <v>-0.52209326724104832</v>
      </c>
      <c r="C108" s="55">
        <v>-0.26688343352430827</v>
      </c>
      <c r="D108" s="55">
        <v>0</v>
      </c>
      <c r="E108" s="55"/>
    </row>
    <row r="109" spans="1:10" ht="15" x14ac:dyDescent="0.25">
      <c r="A109" s="55">
        <v>0.58635155562866603</v>
      </c>
      <c r="B109" s="55">
        <v>-0.72128255447373235</v>
      </c>
      <c r="C109" s="55">
        <v>-0.36870493599040782</v>
      </c>
      <c r="D109" s="55">
        <v>0</v>
      </c>
      <c r="E109" s="55"/>
    </row>
    <row r="110" spans="1:10" ht="15" x14ac:dyDescent="0.25">
      <c r="A110" s="55">
        <v>0</v>
      </c>
      <c r="B110" s="55">
        <v>0.45515941922958686</v>
      </c>
      <c r="C110" s="55">
        <v>-0.89040996349242707</v>
      </c>
      <c r="D110" s="55">
        <v>0</v>
      </c>
      <c r="E110" s="55"/>
    </row>
    <row r="111" spans="1:10" ht="15" x14ac:dyDescent="0.25">
      <c r="A111" s="55">
        <v>-150.4502623788178</v>
      </c>
      <c r="B111" s="55">
        <v>-512.64863153224815</v>
      </c>
      <c r="C111" s="55">
        <v>6925.644814682475</v>
      </c>
      <c r="D111" s="55">
        <v>1</v>
      </c>
      <c r="E111" s="55"/>
    </row>
    <row r="114" spans="1:14" ht="15" x14ac:dyDescent="0.25">
      <c r="A114" s="52" t="s">
        <v>62</v>
      </c>
      <c r="L114" s="56" t="s">
        <v>64</v>
      </c>
    </row>
    <row r="116" spans="1:14" ht="15.75" thickBot="1" x14ac:dyDescent="0.3">
      <c r="A116" s="55" t="s">
        <v>35</v>
      </c>
      <c r="B116" s="55"/>
      <c r="C116" s="55"/>
      <c r="D116" s="55"/>
      <c r="E116" s="55"/>
      <c r="G116" s="55" t="s">
        <v>63</v>
      </c>
      <c r="H116" s="55"/>
      <c r="I116" s="55"/>
      <c r="J116" s="55"/>
      <c r="L116" t="s">
        <v>33</v>
      </c>
    </row>
    <row r="117" spans="1:14" ht="16.5" thickTop="1" thickBot="1" x14ac:dyDescent="0.3">
      <c r="A117" s="55"/>
      <c r="B117" s="55" t="s">
        <v>0</v>
      </c>
      <c r="C117" s="55" t="s">
        <v>1</v>
      </c>
      <c r="D117" s="55" t="s">
        <v>2</v>
      </c>
      <c r="E117" s="55" t="s">
        <v>4</v>
      </c>
      <c r="G117" s="55" t="s">
        <v>26</v>
      </c>
      <c r="H117" s="55" t="s">
        <v>27</v>
      </c>
      <c r="I117" s="55" t="s">
        <v>21</v>
      </c>
      <c r="J117" s="55" t="s">
        <v>4</v>
      </c>
      <c r="L117" s="34" t="s">
        <v>3</v>
      </c>
      <c r="M117" s="35">
        <f>VLOOKUP(L117, $F$118:$J$150, 2)</f>
        <v>-150.4502623788178</v>
      </c>
      <c r="N117" s="36">
        <f>VLOOKUP(L117, $F$118:$J$150, 3)</f>
        <v>-512.64863153224815</v>
      </c>
    </row>
    <row r="118" spans="1:14" ht="16.5" thickTop="1" thickBot="1" x14ac:dyDescent="0.3">
      <c r="A118" s="55" t="s">
        <v>3</v>
      </c>
      <c r="B118" s="55">
        <v>0</v>
      </c>
      <c r="C118" s="55">
        <v>0</v>
      </c>
      <c r="D118" s="55">
        <v>0</v>
      </c>
      <c r="E118" s="55">
        <v>1</v>
      </c>
      <c r="F118" s="48" t="s">
        <v>3</v>
      </c>
      <c r="G118" s="55">
        <f t="array" ref="G118:J150">MMULT(B118:E150,A108:D111)</f>
        <v>-150.4502623788178</v>
      </c>
      <c r="H118" s="55">
        <v>-512.64863153224815</v>
      </c>
      <c r="I118" s="55">
        <v>6925.644814682475</v>
      </c>
      <c r="J118" s="55">
        <v>1</v>
      </c>
      <c r="L118" s="37" t="s">
        <v>25</v>
      </c>
      <c r="M118" s="35">
        <f t="shared" ref="M118:M181" si="4">VLOOKUP(L118, $F$118:$J$150, 2)</f>
        <v>-717.48995064922747</v>
      </c>
      <c r="N118" s="36">
        <f t="shared" ref="N118:N181" si="5">VLOOKUP(L118, $F$118:$J$150, 3)</f>
        <v>-878.11391860098195</v>
      </c>
    </row>
    <row r="119" spans="1:14" ht="16.5" thickTop="1" thickBot="1" x14ac:dyDescent="0.3">
      <c r="A119" s="55" t="s">
        <v>30</v>
      </c>
      <c r="B119" s="55">
        <f>0.35*B32</f>
        <v>244.99999999999997</v>
      </c>
      <c r="C119" s="55">
        <f>0.3*C32</f>
        <v>270</v>
      </c>
      <c r="D119" s="55">
        <f>D32</f>
        <v>800</v>
      </c>
      <c r="E119" s="55">
        <v>1</v>
      </c>
      <c r="F119" s="48" t="s">
        <v>30</v>
      </c>
      <c r="G119" s="55">
        <v>-190.59923325372134</v>
      </c>
      <c r="H119" s="55">
        <v>-471.18023633054315</v>
      </c>
      <c r="I119" s="55">
        <v>6048.3800699576677</v>
      </c>
      <c r="J119" s="55">
        <v>1</v>
      </c>
      <c r="L119" s="37" t="s">
        <v>26</v>
      </c>
      <c r="M119" s="35">
        <f t="shared" si="4"/>
        <v>-506.40339062290769</v>
      </c>
      <c r="N119" s="36">
        <f t="shared" si="5"/>
        <v>-1137.7756382115256</v>
      </c>
    </row>
    <row r="120" spans="1:14" ht="16.5" thickTop="1" thickBot="1" x14ac:dyDescent="0.3">
      <c r="A120" s="55" t="s">
        <v>31</v>
      </c>
      <c r="B120" s="55">
        <f>0.95*B32</f>
        <v>665</v>
      </c>
      <c r="C120" s="55">
        <f>C26</f>
        <v>270</v>
      </c>
      <c r="D120" s="55">
        <f>D26</f>
        <v>800</v>
      </c>
      <c r="E120" s="55">
        <v>1</v>
      </c>
      <c r="F120" s="48" t="s">
        <v>31</v>
      </c>
      <c r="G120" s="55">
        <v>-530.82304621596711</v>
      </c>
      <c r="H120" s="55">
        <v>-690.45940857178346</v>
      </c>
      <c r="I120" s="55">
        <v>5936.2890278774585</v>
      </c>
      <c r="J120" s="55">
        <v>1</v>
      </c>
      <c r="L120" s="37" t="s">
        <v>0</v>
      </c>
      <c r="M120" s="35">
        <f t="shared" si="4"/>
        <v>-336.29148414178474</v>
      </c>
      <c r="N120" s="36">
        <f t="shared" si="5"/>
        <v>-1028.1360520909054</v>
      </c>
    </row>
    <row r="121" spans="1:14" ht="16.5" thickTop="1" thickBot="1" x14ac:dyDescent="0.3">
      <c r="A121" s="55" t="s">
        <v>32</v>
      </c>
      <c r="B121" s="55">
        <f>0.6*B32</f>
        <v>420</v>
      </c>
      <c r="C121" s="55">
        <f>0.5*C32</f>
        <v>450</v>
      </c>
      <c r="D121" s="55">
        <f>D32</f>
        <v>800</v>
      </c>
      <c r="E121" s="55">
        <v>1</v>
      </c>
      <c r="F121" s="48" t="s">
        <v>32</v>
      </c>
      <c r="G121" s="55">
        <v>-226.81587530816387</v>
      </c>
      <c r="H121" s="55">
        <v>-692.37741790299856</v>
      </c>
      <c r="I121" s="55">
        <v>5935.3085806126401</v>
      </c>
      <c r="J121" s="55">
        <v>1</v>
      </c>
      <c r="L121" s="37" t="s">
        <v>22</v>
      </c>
      <c r="M121" s="35">
        <f t="shared" si="4"/>
        <v>-19.661644102305047</v>
      </c>
      <c r="N121" s="36">
        <f t="shared" si="5"/>
        <v>-1417.6286315067209</v>
      </c>
    </row>
    <row r="122" spans="1:14" ht="16.5" thickTop="1" thickBot="1" x14ac:dyDescent="0.3">
      <c r="A122" s="55" t="s">
        <v>34</v>
      </c>
      <c r="B122" s="55">
        <f>0.2*B32</f>
        <v>140</v>
      </c>
      <c r="C122" s="55">
        <f>0.35*C32</f>
        <v>315</v>
      </c>
      <c r="D122" s="55">
        <f>4.5*D32</f>
        <v>3600</v>
      </c>
      <c r="E122" s="55">
        <v>1</v>
      </c>
      <c r="F122" s="48" t="s">
        <v>34</v>
      </c>
      <c r="G122" s="55">
        <v>-79.157460009869936</v>
      </c>
      <c r="H122" s="55">
        <v>825.62821562129216</v>
      </c>
      <c r="I122" s="55">
        <v>3566.663210579356</v>
      </c>
      <c r="J122" s="55">
        <v>1</v>
      </c>
      <c r="L122" s="37" t="s">
        <v>21</v>
      </c>
      <c r="M122" s="35">
        <f t="shared" si="4"/>
        <v>377.26613768698166</v>
      </c>
      <c r="N122" s="36">
        <f t="shared" si="5"/>
        <v>-1161.8029305586074</v>
      </c>
    </row>
    <row r="123" spans="1:14" ht="16.5" thickTop="1" thickBot="1" x14ac:dyDescent="0.3">
      <c r="A123" s="55" t="s">
        <v>37</v>
      </c>
      <c r="B123" s="55">
        <f>B29</f>
        <v>140</v>
      </c>
      <c r="C123" s="55">
        <f>0.5*C32</f>
        <v>450</v>
      </c>
      <c r="D123" s="55">
        <f>2.5*D32</f>
        <v>2000</v>
      </c>
      <c r="E123" s="55">
        <v>1</v>
      </c>
      <c r="F123" s="48" t="s">
        <v>37</v>
      </c>
      <c r="G123" s="55">
        <v>0</v>
      </c>
      <c r="H123" s="55">
        <v>-7.9580786405131221E-13</v>
      </c>
      <c r="I123" s="55">
        <v>4941.5439858085338</v>
      </c>
      <c r="J123" s="55">
        <v>1</v>
      </c>
      <c r="L123" s="37" t="s">
        <v>3</v>
      </c>
      <c r="M123" s="35">
        <f t="shared" si="4"/>
        <v>-150.4502623788178</v>
      </c>
      <c r="N123" s="36">
        <f t="shared" si="5"/>
        <v>-512.64863153224815</v>
      </c>
    </row>
    <row r="124" spans="1:14" ht="16.5" thickTop="1" thickBot="1" x14ac:dyDescent="0.3">
      <c r="A124" s="55" t="s">
        <v>38</v>
      </c>
      <c r="B124" s="55">
        <f>B29</f>
        <v>140</v>
      </c>
      <c r="C124" s="55">
        <f>0.65*C32</f>
        <v>585</v>
      </c>
      <c r="D124" s="55">
        <f>3*D32</f>
        <v>2400</v>
      </c>
      <c r="E124" s="55">
        <v>1</v>
      </c>
      <c r="F124" s="48" t="s">
        <v>38</v>
      </c>
      <c r="G124" s="55">
        <v>79.157460009869908</v>
      </c>
      <c r="H124" s="55">
        <v>84.690622837880255</v>
      </c>
      <c r="I124" s="55">
        <v>4535.6048340528578</v>
      </c>
      <c r="J124" s="55">
        <v>1</v>
      </c>
      <c r="L124" s="37"/>
      <c r="M124" s="35"/>
      <c r="N124" s="36"/>
    </row>
    <row r="125" spans="1:14" ht="16.5" thickTop="1" thickBot="1" x14ac:dyDescent="0.3">
      <c r="A125" s="55" t="s">
        <v>39</v>
      </c>
      <c r="B125" s="55">
        <f>100*C61</f>
        <v>700</v>
      </c>
      <c r="C125" s="55">
        <f>100*A61</f>
        <v>900</v>
      </c>
      <c r="D125" s="55">
        <f>100*B61</f>
        <v>800</v>
      </c>
      <c r="E125" s="55">
        <v>1</v>
      </c>
      <c r="F125" s="48" t="s">
        <v>39</v>
      </c>
      <c r="G125" s="55">
        <v>-189.773550583428</v>
      </c>
      <c r="H125" s="55">
        <v>-1163.1406822436716</v>
      </c>
      <c r="I125" s="55">
        <v>5694.6639980301507</v>
      </c>
      <c r="J125" s="55">
        <v>1</v>
      </c>
      <c r="L125" s="37" t="s">
        <v>16</v>
      </c>
      <c r="M125" s="35">
        <f t="shared" si="4"/>
        <v>-263.85820003289973</v>
      </c>
      <c r="N125" s="36">
        <f t="shared" si="5"/>
        <v>-221.61415356232538</v>
      </c>
    </row>
    <row r="126" spans="1:14" ht="16.5" thickTop="1" thickBot="1" x14ac:dyDescent="0.3">
      <c r="A126" s="55" t="s">
        <v>6</v>
      </c>
      <c r="B126" s="55">
        <v>0</v>
      </c>
      <c r="C126" s="55">
        <v>0</v>
      </c>
      <c r="D126" s="55">
        <f>3*D32</f>
        <v>2400</v>
      </c>
      <c r="E126" s="55">
        <v>1</v>
      </c>
      <c r="F126" s="48" t="s">
        <v>6</v>
      </c>
      <c r="G126" s="55">
        <v>-150.4502623788178</v>
      </c>
      <c r="H126" s="55">
        <v>579.73397461876039</v>
      </c>
      <c r="I126" s="55">
        <v>4788.6609023006495</v>
      </c>
      <c r="J126" s="55">
        <v>1</v>
      </c>
      <c r="L126" s="37" t="s">
        <v>24</v>
      </c>
      <c r="M126" s="35">
        <f t="shared" si="4"/>
        <v>-717.48995064922747</v>
      </c>
      <c r="N126" s="36">
        <f t="shared" si="5"/>
        <v>-513.98638321731244</v>
      </c>
    </row>
    <row r="127" spans="1:14" ht="16.5" thickTop="1" thickBot="1" x14ac:dyDescent="0.3">
      <c r="A127" s="55" t="s">
        <v>7</v>
      </c>
      <c r="B127" s="55">
        <f>0.2*B32</f>
        <v>140</v>
      </c>
      <c r="C127" s="55">
        <v>0</v>
      </c>
      <c r="D127" s="55">
        <f>3*D32</f>
        <v>2400</v>
      </c>
      <c r="E127" s="55">
        <v>1</v>
      </c>
      <c r="F127" s="48" t="s">
        <v>7</v>
      </c>
      <c r="G127" s="55">
        <v>-263.85820003289973</v>
      </c>
      <c r="H127" s="55">
        <v>506.64091720501358</v>
      </c>
      <c r="I127" s="55">
        <v>4751.2972216072467</v>
      </c>
      <c r="J127" s="55">
        <v>1</v>
      </c>
      <c r="L127" s="37" t="s">
        <v>27</v>
      </c>
      <c r="M127" s="35">
        <f t="shared" si="4"/>
        <v>-506.40339062290769</v>
      </c>
      <c r="N127" s="36">
        <f t="shared" si="5"/>
        <v>-773.64810282785606</v>
      </c>
    </row>
    <row r="128" spans="1:14" ht="16.5" thickTop="1" thickBot="1" x14ac:dyDescent="0.3">
      <c r="A128" s="55" t="s">
        <v>8</v>
      </c>
      <c r="B128" s="55">
        <f>0.2*B32</f>
        <v>140</v>
      </c>
      <c r="C128" s="55">
        <f>0.3*C32</f>
        <v>270</v>
      </c>
      <c r="D128" s="55">
        <f>3*D32</f>
        <v>2400</v>
      </c>
      <c r="E128" s="55">
        <v>1</v>
      </c>
      <c r="F128" s="48" t="s">
        <v>8</v>
      </c>
      <c r="G128" s="55">
        <v>-105.54328001315992</v>
      </c>
      <c r="H128" s="55">
        <v>311.89462749710583</v>
      </c>
      <c r="I128" s="55">
        <v>4651.7468888898366</v>
      </c>
      <c r="J128" s="55">
        <v>1</v>
      </c>
      <c r="L128" s="37" t="s">
        <v>28</v>
      </c>
      <c r="M128" s="35">
        <f t="shared" si="4"/>
        <v>-336.29148414178474</v>
      </c>
      <c r="N128" s="36">
        <f t="shared" si="5"/>
        <v>-664.00851670723591</v>
      </c>
    </row>
    <row r="129" spans="1:14" ht="16.5" thickTop="1" thickBot="1" x14ac:dyDescent="0.3">
      <c r="A129" s="55" t="s">
        <v>5</v>
      </c>
      <c r="B129" s="55">
        <f>0.2*B32</f>
        <v>140</v>
      </c>
      <c r="C129" s="55">
        <f>0.3*C32</f>
        <v>270</v>
      </c>
      <c r="D129" s="55">
        <f>5*D32</f>
        <v>4000</v>
      </c>
      <c r="E129" s="55">
        <v>1</v>
      </c>
      <c r="F129" s="48" t="s">
        <v>5</v>
      </c>
      <c r="G129" s="55">
        <v>-105.54328001315992</v>
      </c>
      <c r="H129" s="55">
        <v>1040.1496982644446</v>
      </c>
      <c r="I129" s="55">
        <v>3227.0909473019533</v>
      </c>
      <c r="J129" s="55">
        <v>1</v>
      </c>
      <c r="L129" s="37" t="s">
        <v>23</v>
      </c>
      <c r="M129" s="35">
        <f t="shared" si="4"/>
        <v>-19.661644102305047</v>
      </c>
      <c r="N129" s="36">
        <f t="shared" si="5"/>
        <v>-1053.5010961230514</v>
      </c>
    </row>
    <row r="130" spans="1:14" ht="16.5" thickTop="1" thickBot="1" x14ac:dyDescent="0.3">
      <c r="A130" s="55" t="s">
        <v>9</v>
      </c>
      <c r="B130" s="55">
        <v>0</v>
      </c>
      <c r="C130" s="55">
        <f>0.3*C32</f>
        <v>270</v>
      </c>
      <c r="D130" s="55">
        <f>5*D32</f>
        <v>4000</v>
      </c>
      <c r="E130" s="55">
        <v>1</v>
      </c>
      <c r="F130" s="48" t="s">
        <v>9</v>
      </c>
      <c r="G130" s="55">
        <v>7.8646576409220188</v>
      </c>
      <c r="H130" s="55">
        <v>1113.2427556781915</v>
      </c>
      <c r="I130" s="55">
        <v>3264.4546279953565</v>
      </c>
      <c r="J130" s="55">
        <v>1</v>
      </c>
      <c r="L130" s="37" t="s">
        <v>17</v>
      </c>
      <c r="M130" s="35">
        <f t="shared" si="4"/>
        <v>263.85820003289973</v>
      </c>
      <c r="N130" s="36">
        <f t="shared" si="5"/>
        <v>-870.76845258868457</v>
      </c>
    </row>
    <row r="131" spans="1:14" ht="16.5" thickTop="1" thickBot="1" x14ac:dyDescent="0.3">
      <c r="A131" s="55" t="s">
        <v>10</v>
      </c>
      <c r="B131" s="55">
        <v>0</v>
      </c>
      <c r="C131" s="55">
        <f>0.3*C32</f>
        <v>270</v>
      </c>
      <c r="D131" s="55">
        <f>3*D32</f>
        <v>2400</v>
      </c>
      <c r="E131" s="55">
        <v>1</v>
      </c>
      <c r="F131" s="48" t="s">
        <v>10</v>
      </c>
      <c r="G131" s="55">
        <v>7.8646576409220188</v>
      </c>
      <c r="H131" s="55">
        <v>384.98768491085264</v>
      </c>
      <c r="I131" s="55">
        <v>4689.1105695832393</v>
      </c>
      <c r="J131" s="55">
        <v>1</v>
      </c>
      <c r="L131" s="37" t="s">
        <v>16</v>
      </c>
      <c r="M131" s="35">
        <f t="shared" si="4"/>
        <v>-263.85820003289973</v>
      </c>
      <c r="N131" s="36">
        <f t="shared" si="5"/>
        <v>-221.61415356232538</v>
      </c>
    </row>
    <row r="132" spans="1:14" ht="16.5" thickTop="1" thickBot="1" x14ac:dyDescent="0.3">
      <c r="A132" s="55" t="s">
        <v>4</v>
      </c>
      <c r="B132" s="55">
        <v>0</v>
      </c>
      <c r="C132" s="55">
        <f>0.7*C32</f>
        <v>630</v>
      </c>
      <c r="D132" s="55">
        <f>3*D32</f>
        <v>2400</v>
      </c>
      <c r="E132" s="55">
        <v>1</v>
      </c>
      <c r="F132" s="48" t="s">
        <v>4</v>
      </c>
      <c r="G132" s="55">
        <v>218.95121766724179</v>
      </c>
      <c r="H132" s="55">
        <v>125.32596530030901</v>
      </c>
      <c r="I132" s="55">
        <v>4556.3767926266928</v>
      </c>
      <c r="J132" s="55">
        <v>1</v>
      </c>
      <c r="L132" s="37"/>
      <c r="M132" s="35"/>
      <c r="N132" s="36"/>
    </row>
    <row r="133" spans="1:14" ht="16.5" thickTop="1" thickBot="1" x14ac:dyDescent="0.3">
      <c r="A133" s="55" t="s">
        <v>11</v>
      </c>
      <c r="B133" s="55">
        <v>0</v>
      </c>
      <c r="C133" s="55">
        <f>0.7*C32</f>
        <v>630</v>
      </c>
      <c r="D133" s="55">
        <f>5*D32</f>
        <v>4000</v>
      </c>
      <c r="E133" s="55">
        <v>1</v>
      </c>
      <c r="F133" s="48" t="s">
        <v>11</v>
      </c>
      <c r="G133" s="55">
        <v>218.95121766724179</v>
      </c>
      <c r="H133" s="55">
        <v>853.5810360676478</v>
      </c>
      <c r="I133" s="55">
        <v>3131.7208510388095</v>
      </c>
      <c r="J133" s="55">
        <v>1</v>
      </c>
      <c r="L133" s="37" t="s">
        <v>6</v>
      </c>
      <c r="M133" s="35">
        <f t="shared" si="4"/>
        <v>-150.4502623788178</v>
      </c>
      <c r="N133" s="36">
        <f t="shared" si="5"/>
        <v>579.73397461876039</v>
      </c>
    </row>
    <row r="134" spans="1:14" ht="16.5" thickTop="1" thickBot="1" x14ac:dyDescent="0.3">
      <c r="A134" s="55" t="s">
        <v>12</v>
      </c>
      <c r="B134" s="55">
        <f>0.2*B32</f>
        <v>140</v>
      </c>
      <c r="C134" s="55">
        <f>0.7*C32</f>
        <v>630</v>
      </c>
      <c r="D134" s="55">
        <f>5*D32</f>
        <v>4000</v>
      </c>
      <c r="E134" s="55">
        <v>1</v>
      </c>
      <c r="F134" s="48" t="s">
        <v>12</v>
      </c>
      <c r="G134" s="55">
        <v>105.54328001315986</v>
      </c>
      <c r="H134" s="55">
        <v>780.48797865390088</v>
      </c>
      <c r="I134" s="55">
        <v>3094.3571703454068</v>
      </c>
      <c r="J134" s="55">
        <v>1</v>
      </c>
      <c r="L134" s="37" t="s">
        <v>7</v>
      </c>
      <c r="M134" s="35">
        <f t="shared" si="4"/>
        <v>-263.85820003289973</v>
      </c>
      <c r="N134" s="36">
        <f t="shared" si="5"/>
        <v>506.64091720501358</v>
      </c>
    </row>
    <row r="135" spans="1:14" ht="16.5" thickTop="1" thickBot="1" x14ac:dyDescent="0.3">
      <c r="A135" s="55" t="s">
        <v>13</v>
      </c>
      <c r="B135" s="55">
        <f>0.2*B32</f>
        <v>140</v>
      </c>
      <c r="C135" s="55">
        <f>0.7*C32</f>
        <v>630</v>
      </c>
      <c r="D135" s="55">
        <f>3*D32</f>
        <v>2400</v>
      </c>
      <c r="E135" s="55">
        <v>1</v>
      </c>
      <c r="F135" s="48" t="s">
        <v>13</v>
      </c>
      <c r="G135" s="55">
        <v>105.54328001315986</v>
      </c>
      <c r="H135" s="55">
        <v>52.232907886562202</v>
      </c>
      <c r="I135" s="55">
        <v>4519.01311193329</v>
      </c>
      <c r="J135" s="55">
        <v>1</v>
      </c>
      <c r="L135" s="37" t="s">
        <v>8</v>
      </c>
      <c r="M135" s="35">
        <f t="shared" si="4"/>
        <v>-105.54328001315992</v>
      </c>
      <c r="N135" s="36">
        <f t="shared" si="5"/>
        <v>311.89462749710583</v>
      </c>
    </row>
    <row r="136" spans="1:14" ht="16.5" thickTop="1" thickBot="1" x14ac:dyDescent="0.3">
      <c r="A136" s="55" t="s">
        <v>14</v>
      </c>
      <c r="B136" s="55">
        <f>0.2*B32</f>
        <v>140</v>
      </c>
      <c r="C136" s="55">
        <f>C32</f>
        <v>900</v>
      </c>
      <c r="D136" s="55">
        <f>3*D32</f>
        <v>2400</v>
      </c>
      <c r="E136" s="55">
        <v>1</v>
      </c>
      <c r="F136" s="48" t="s">
        <v>14</v>
      </c>
      <c r="G136" s="55">
        <v>263.85820003289973</v>
      </c>
      <c r="H136" s="55">
        <v>-142.51338182134555</v>
      </c>
      <c r="I136" s="55">
        <v>4419.4627792158799</v>
      </c>
      <c r="J136" s="55">
        <v>1</v>
      </c>
      <c r="L136" s="37" t="s">
        <v>10</v>
      </c>
      <c r="M136" s="35">
        <f t="shared" si="4"/>
        <v>7.8646576409220188</v>
      </c>
      <c r="N136" s="36">
        <f t="shared" si="5"/>
        <v>384.98768491085264</v>
      </c>
    </row>
    <row r="137" spans="1:14" ht="16.5" thickTop="1" thickBot="1" x14ac:dyDescent="0.3">
      <c r="A137" s="55" t="s">
        <v>15</v>
      </c>
      <c r="B137" s="55">
        <v>0</v>
      </c>
      <c r="C137" s="55">
        <f>C32</f>
        <v>900</v>
      </c>
      <c r="D137" s="55">
        <f>3*D32</f>
        <v>2400</v>
      </c>
      <c r="E137" s="55">
        <v>1</v>
      </c>
      <c r="F137" s="48" t="s">
        <v>15</v>
      </c>
      <c r="G137" s="55">
        <v>377.26613768698166</v>
      </c>
      <c r="H137" s="55">
        <v>-69.420324407598741</v>
      </c>
      <c r="I137" s="55">
        <v>4456.8264599092827</v>
      </c>
      <c r="J137" s="55">
        <v>1</v>
      </c>
      <c r="L137" s="37" t="s">
        <v>6</v>
      </c>
      <c r="M137" s="35">
        <f t="shared" si="4"/>
        <v>-150.4502623788178</v>
      </c>
      <c r="N137" s="36">
        <f t="shared" si="5"/>
        <v>579.73397461876039</v>
      </c>
    </row>
    <row r="138" spans="1:14" ht="16.5" thickTop="1" thickBot="1" x14ac:dyDescent="0.3">
      <c r="A138" s="55" t="s">
        <v>21</v>
      </c>
      <c r="B138" s="55">
        <v>0</v>
      </c>
      <c r="C138" s="55">
        <f>C32</f>
        <v>900</v>
      </c>
      <c r="D138" s="55">
        <v>0</v>
      </c>
      <c r="E138" s="55">
        <v>1</v>
      </c>
      <c r="F138" s="48" t="s">
        <v>21</v>
      </c>
      <c r="G138" s="55">
        <v>377.26613768698166</v>
      </c>
      <c r="H138" s="55">
        <v>-1161.8029305586074</v>
      </c>
      <c r="I138" s="55">
        <v>6593.8103722911083</v>
      </c>
      <c r="J138" s="55">
        <v>1</v>
      </c>
      <c r="L138" s="37"/>
      <c r="M138" s="35"/>
      <c r="N138" s="36"/>
    </row>
    <row r="139" spans="1:14" ht="16.5" thickTop="1" thickBot="1" x14ac:dyDescent="0.3">
      <c r="A139" s="55" t="s">
        <v>22</v>
      </c>
      <c r="B139" s="55">
        <f>0.7*B32</f>
        <v>489.99999999999994</v>
      </c>
      <c r="C139" s="55">
        <f>C32</f>
        <v>900</v>
      </c>
      <c r="D139" s="55">
        <v>0</v>
      </c>
      <c r="E139" s="55">
        <v>1</v>
      </c>
      <c r="F139" s="48" t="s">
        <v>22</v>
      </c>
      <c r="G139" s="55">
        <v>-19.661644102305047</v>
      </c>
      <c r="H139" s="55">
        <v>-1417.6286315067209</v>
      </c>
      <c r="I139" s="55">
        <v>6463.0374898641967</v>
      </c>
      <c r="J139" s="55">
        <v>1</v>
      </c>
      <c r="L139" s="37" t="s">
        <v>13</v>
      </c>
      <c r="M139" s="35">
        <f t="shared" si="4"/>
        <v>105.54328001315986</v>
      </c>
      <c r="N139" s="36">
        <f t="shared" si="5"/>
        <v>52.232907886562202</v>
      </c>
    </row>
    <row r="140" spans="1:14" ht="16.5" thickTop="1" thickBot="1" x14ac:dyDescent="0.3">
      <c r="A140" s="55" t="s">
        <v>23</v>
      </c>
      <c r="B140" s="55">
        <f>0.7*B32</f>
        <v>489.99999999999994</v>
      </c>
      <c r="C140" s="55">
        <f>C32</f>
        <v>900</v>
      </c>
      <c r="D140" s="55">
        <f>D32</f>
        <v>800</v>
      </c>
      <c r="E140" s="55">
        <v>1</v>
      </c>
      <c r="F140" s="48" t="s">
        <v>23</v>
      </c>
      <c r="G140" s="55">
        <v>-19.661644102305047</v>
      </c>
      <c r="H140" s="55">
        <v>-1053.5010961230514</v>
      </c>
      <c r="I140" s="55">
        <v>5750.7095190702548</v>
      </c>
      <c r="J140" s="55">
        <v>1</v>
      </c>
      <c r="L140" s="37" t="s">
        <v>14</v>
      </c>
      <c r="M140" s="35">
        <f t="shared" si="4"/>
        <v>263.85820003289973</v>
      </c>
      <c r="N140" s="36">
        <f t="shared" si="5"/>
        <v>-142.51338182134555</v>
      </c>
    </row>
    <row r="141" spans="1:14" ht="16.5" thickTop="1" thickBot="1" x14ac:dyDescent="0.3">
      <c r="A141" s="55" t="s">
        <v>17</v>
      </c>
      <c r="B141" s="55">
        <f>0.2*B32</f>
        <v>140</v>
      </c>
      <c r="C141" s="55">
        <f>C32</f>
        <v>900</v>
      </c>
      <c r="D141" s="55">
        <f>D32</f>
        <v>800</v>
      </c>
      <c r="E141" s="55">
        <v>1</v>
      </c>
      <c r="F141" s="48" t="s">
        <v>17</v>
      </c>
      <c r="G141" s="55">
        <v>263.85820003289973</v>
      </c>
      <c r="H141" s="55">
        <v>-870.76845258868457</v>
      </c>
      <c r="I141" s="55">
        <v>5844.1187208037627</v>
      </c>
      <c r="J141" s="55">
        <v>1</v>
      </c>
      <c r="L141" s="37" t="s">
        <v>15</v>
      </c>
      <c r="M141" s="35">
        <f t="shared" si="4"/>
        <v>377.26613768698166</v>
      </c>
      <c r="N141" s="36">
        <f t="shared" si="5"/>
        <v>-69.420324407598741</v>
      </c>
    </row>
    <row r="142" spans="1:14" ht="16.5" thickTop="1" thickBot="1" x14ac:dyDescent="0.3">
      <c r="A142" s="55" t="s">
        <v>16</v>
      </c>
      <c r="B142" s="55">
        <f>0.2*B32</f>
        <v>140</v>
      </c>
      <c r="C142" s="55">
        <v>0</v>
      </c>
      <c r="D142" s="55">
        <f>D32</f>
        <v>800</v>
      </c>
      <c r="E142" s="55">
        <v>1</v>
      </c>
      <c r="F142" s="48" t="s">
        <v>16</v>
      </c>
      <c r="G142" s="55">
        <v>-263.85820003289973</v>
      </c>
      <c r="H142" s="55">
        <v>-221.61415356232538</v>
      </c>
      <c r="I142" s="55">
        <v>6175.9531631951304</v>
      </c>
      <c r="J142" s="55">
        <v>1</v>
      </c>
      <c r="L142" s="37" t="s">
        <v>4</v>
      </c>
      <c r="M142" s="35">
        <f t="shared" si="4"/>
        <v>218.95121766724179</v>
      </c>
      <c r="N142" s="36">
        <f t="shared" si="5"/>
        <v>125.32596530030901</v>
      </c>
    </row>
    <row r="143" spans="1:14" ht="16.5" thickTop="1" thickBot="1" x14ac:dyDescent="0.3">
      <c r="A143" s="55" t="s">
        <v>24</v>
      </c>
      <c r="B143" s="55">
        <f>B32</f>
        <v>700</v>
      </c>
      <c r="C143" s="55">
        <v>0</v>
      </c>
      <c r="D143" s="55">
        <f>D32</f>
        <v>800</v>
      </c>
      <c r="E143" s="55">
        <v>1</v>
      </c>
      <c r="F143" s="48" t="s">
        <v>24</v>
      </c>
      <c r="G143" s="55">
        <v>-717.48995064922747</v>
      </c>
      <c r="H143" s="55">
        <v>-513.98638321731244</v>
      </c>
      <c r="I143" s="55">
        <v>6026.4984404215174</v>
      </c>
      <c r="J143" s="55">
        <v>1</v>
      </c>
      <c r="L143" s="37" t="s">
        <v>13</v>
      </c>
      <c r="M143" s="35">
        <f t="shared" si="4"/>
        <v>105.54328001315986</v>
      </c>
      <c r="N143" s="36">
        <f t="shared" si="5"/>
        <v>52.232907886562202</v>
      </c>
    </row>
    <row r="144" spans="1:14" ht="16.5" thickTop="1" thickBot="1" x14ac:dyDescent="0.3">
      <c r="A144" s="55" t="s">
        <v>25</v>
      </c>
      <c r="B144" s="55">
        <f>B32</f>
        <v>700</v>
      </c>
      <c r="C144" s="55">
        <v>0</v>
      </c>
      <c r="D144" s="55">
        <v>0</v>
      </c>
      <c r="E144" s="55">
        <v>1</v>
      </c>
      <c r="F144" s="48" t="s">
        <v>25</v>
      </c>
      <c r="G144" s="55">
        <v>-717.48995064922747</v>
      </c>
      <c r="H144" s="55">
        <v>-878.11391860098195</v>
      </c>
      <c r="I144" s="55">
        <v>6738.8264112154593</v>
      </c>
      <c r="J144" s="55">
        <v>1</v>
      </c>
      <c r="L144" s="37"/>
      <c r="M144" s="35"/>
      <c r="N144" s="36"/>
    </row>
    <row r="145" spans="1:14" ht="16.5" thickTop="1" thickBot="1" x14ac:dyDescent="0.3">
      <c r="A145" s="55" t="s">
        <v>26</v>
      </c>
      <c r="B145" s="55">
        <f>B32</f>
        <v>700</v>
      </c>
      <c r="C145" s="55">
        <f>0.4*C32</f>
        <v>360</v>
      </c>
      <c r="D145" s="55">
        <v>0</v>
      </c>
      <c r="E145" s="55">
        <v>1</v>
      </c>
      <c r="F145" s="48" t="s">
        <v>26</v>
      </c>
      <c r="G145" s="55">
        <v>-506.40339062290769</v>
      </c>
      <c r="H145" s="55">
        <v>-1137.7756382115256</v>
      </c>
      <c r="I145" s="55">
        <v>6606.0926342589128</v>
      </c>
      <c r="J145" s="55">
        <v>1</v>
      </c>
      <c r="L145" s="37" t="s">
        <v>12</v>
      </c>
      <c r="M145" s="35">
        <f t="shared" si="4"/>
        <v>105.54328001315986</v>
      </c>
      <c r="N145" s="36">
        <f t="shared" si="5"/>
        <v>780.48797865390088</v>
      </c>
    </row>
    <row r="146" spans="1:14" ht="16.5" thickTop="1" thickBot="1" x14ac:dyDescent="0.3">
      <c r="A146" s="55" t="s">
        <v>27</v>
      </c>
      <c r="B146" s="55">
        <f>B32</f>
        <v>700</v>
      </c>
      <c r="C146" s="55">
        <f>0.4*C32</f>
        <v>360</v>
      </c>
      <c r="D146" s="55">
        <f>D32</f>
        <v>800</v>
      </c>
      <c r="E146" s="55">
        <v>1</v>
      </c>
      <c r="F146" s="48" t="s">
        <v>27</v>
      </c>
      <c r="G146" s="55">
        <v>-506.40339062290769</v>
      </c>
      <c r="H146" s="55">
        <v>-773.64810282785606</v>
      </c>
      <c r="I146" s="55">
        <v>5893.7646634649709</v>
      </c>
      <c r="J146" s="55">
        <v>1</v>
      </c>
      <c r="L146" s="37" t="s">
        <v>29</v>
      </c>
      <c r="M146" s="35">
        <f t="shared" si="4"/>
        <v>218.95121766724179</v>
      </c>
      <c r="N146" s="36">
        <f t="shared" si="5"/>
        <v>853.5810360676478</v>
      </c>
    </row>
    <row r="147" spans="1:14" ht="16.5" thickTop="1" thickBot="1" x14ac:dyDescent="0.3">
      <c r="A147" s="55" t="s">
        <v>28</v>
      </c>
      <c r="B147" s="55">
        <f>0.7*B32</f>
        <v>489.99999999999994</v>
      </c>
      <c r="C147" s="55">
        <f>0.4*C32</f>
        <v>360</v>
      </c>
      <c r="D147" s="55">
        <f>D32</f>
        <v>800</v>
      </c>
      <c r="E147" s="55">
        <v>1</v>
      </c>
      <c r="F147" s="48" t="s">
        <v>28</v>
      </c>
      <c r="G147" s="55">
        <v>-336.29148414178474</v>
      </c>
      <c r="H147" s="55">
        <v>-664.00851670723591</v>
      </c>
      <c r="I147" s="55">
        <v>5949.8101845050751</v>
      </c>
      <c r="J147" s="55">
        <v>1</v>
      </c>
      <c r="L147" s="37" t="s">
        <v>9</v>
      </c>
      <c r="M147" s="35">
        <f t="shared" si="4"/>
        <v>7.8646576409220188</v>
      </c>
      <c r="N147" s="36">
        <f t="shared" si="5"/>
        <v>1113.2427556781915</v>
      </c>
    </row>
    <row r="148" spans="1:14" ht="16.5" thickTop="1" thickBot="1" x14ac:dyDescent="0.3">
      <c r="A148" s="55" t="s">
        <v>0</v>
      </c>
      <c r="B148" s="55">
        <f>0.7*B32</f>
        <v>489.99999999999994</v>
      </c>
      <c r="C148" s="55">
        <f>0.4*C32</f>
        <v>360</v>
      </c>
      <c r="D148" s="55">
        <v>0</v>
      </c>
      <c r="E148" s="55">
        <v>1</v>
      </c>
      <c r="F148" s="48" t="s">
        <v>0</v>
      </c>
      <c r="G148" s="55">
        <v>-336.29148414178474</v>
      </c>
      <c r="H148" s="55">
        <v>-1028.1360520909054</v>
      </c>
      <c r="I148" s="55">
        <v>6662.1381552990169</v>
      </c>
      <c r="J148" s="55">
        <v>1</v>
      </c>
      <c r="L148" s="37" t="s">
        <v>5</v>
      </c>
      <c r="M148" s="35">
        <f t="shared" si="4"/>
        <v>-105.54328001315992</v>
      </c>
      <c r="N148" s="36">
        <f t="shared" si="5"/>
        <v>1040.1496982644446</v>
      </c>
    </row>
    <row r="149" spans="1:14" ht="16.5" thickTop="1" thickBot="1" x14ac:dyDescent="0.3">
      <c r="A149" s="55" t="s">
        <v>1</v>
      </c>
      <c r="B149" s="55">
        <f>0.25*B32</f>
        <v>175</v>
      </c>
      <c r="C149" s="55">
        <f>0.15*C32</f>
        <v>135</v>
      </c>
      <c r="D149" s="55">
        <f>D32</f>
        <v>800</v>
      </c>
      <c r="E149" s="55">
        <v>1</v>
      </c>
      <c r="F149" s="48" t="s">
        <v>1</v>
      </c>
      <c r="G149" s="55">
        <v>-213.05272443655031</v>
      </c>
      <c r="H149" s="55">
        <v>-337.26056276971593</v>
      </c>
      <c r="I149" s="55">
        <v>6116.8370766630742</v>
      </c>
      <c r="J149" s="55">
        <v>1</v>
      </c>
      <c r="L149" s="37" t="s">
        <v>12</v>
      </c>
      <c r="M149" s="35">
        <f t="shared" si="4"/>
        <v>105.54328001315986</v>
      </c>
      <c r="N149" s="36">
        <f t="shared" si="5"/>
        <v>780.48797865390088</v>
      </c>
    </row>
    <row r="150" spans="1:14" ht="16.5" thickTop="1" thickBot="1" x14ac:dyDescent="0.3">
      <c r="A150" s="55" t="s">
        <v>2</v>
      </c>
      <c r="B150" s="55">
        <f>0.6*B32</f>
        <v>420</v>
      </c>
      <c r="C150" s="55">
        <f>0.15*C32</f>
        <v>135</v>
      </c>
      <c r="D150" s="55">
        <f>D32</f>
        <v>800</v>
      </c>
      <c r="E150" s="55">
        <v>1</v>
      </c>
      <c r="F150" s="48" t="s">
        <v>2</v>
      </c>
      <c r="G150" s="55">
        <v>-411.51661533119369</v>
      </c>
      <c r="H150" s="55">
        <v>-465.17341324377281</v>
      </c>
      <c r="I150" s="55">
        <v>6051.4506354496189</v>
      </c>
      <c r="J150" s="55">
        <v>1</v>
      </c>
      <c r="L150" s="37"/>
      <c r="M150" s="35"/>
      <c r="N150" s="36"/>
    </row>
    <row r="151" spans="1:14" ht="14.25" thickTop="1" thickBot="1" x14ac:dyDescent="0.25">
      <c r="L151" s="37" t="s">
        <v>6</v>
      </c>
      <c r="M151" s="35">
        <f t="shared" si="4"/>
        <v>-150.4502623788178</v>
      </c>
      <c r="N151" s="36">
        <f t="shared" si="5"/>
        <v>579.73397461876039</v>
      </c>
    </row>
    <row r="152" spans="1:14" ht="14.25" thickTop="1" thickBot="1" x14ac:dyDescent="0.25">
      <c r="L152" s="37" t="s">
        <v>3</v>
      </c>
      <c r="M152" s="35">
        <f t="shared" si="4"/>
        <v>-150.4502623788178</v>
      </c>
      <c r="N152" s="36">
        <f t="shared" si="5"/>
        <v>-512.64863153224815</v>
      </c>
    </row>
    <row r="153" spans="1:14" ht="16.5" thickTop="1" thickBot="1" x14ac:dyDescent="0.3">
      <c r="A153" s="56" t="s">
        <v>65</v>
      </c>
      <c r="L153" s="37" t="s">
        <v>21</v>
      </c>
      <c r="M153" s="35">
        <f t="shared" si="4"/>
        <v>377.26613768698166</v>
      </c>
      <c r="N153" s="36">
        <f t="shared" si="5"/>
        <v>-1161.8029305586074</v>
      </c>
    </row>
    <row r="154" spans="1:14" ht="14.25" thickTop="1" thickBot="1" x14ac:dyDescent="0.25">
      <c r="L154" s="37" t="s">
        <v>15</v>
      </c>
      <c r="M154" s="35">
        <f t="shared" si="4"/>
        <v>377.26613768698166</v>
      </c>
      <c r="N154" s="36">
        <f t="shared" si="5"/>
        <v>-69.420324407598741</v>
      </c>
    </row>
    <row r="155" spans="1:14" ht="14.25" thickTop="1" thickBot="1" x14ac:dyDescent="0.25">
      <c r="L155" s="37" t="s">
        <v>4</v>
      </c>
      <c r="M155" s="35">
        <f t="shared" si="4"/>
        <v>218.95121766724179</v>
      </c>
      <c r="N155" s="36">
        <f t="shared" si="5"/>
        <v>125.32596530030901</v>
      </c>
    </row>
    <row r="156" spans="1:14" ht="16.5" thickTop="1" thickBot="1" x14ac:dyDescent="0.3">
      <c r="A156" s="55" t="s">
        <v>26</v>
      </c>
      <c r="B156" s="55" t="s">
        <v>27</v>
      </c>
      <c r="C156" s="55" t="s">
        <v>21</v>
      </c>
      <c r="D156" s="55" t="s">
        <v>66</v>
      </c>
      <c r="L156" s="37" t="s">
        <v>29</v>
      </c>
      <c r="M156" s="35">
        <f t="shared" si="4"/>
        <v>218.95121766724179</v>
      </c>
      <c r="N156" s="36">
        <f t="shared" si="5"/>
        <v>853.5810360676478</v>
      </c>
    </row>
    <row r="157" spans="1:14" ht="16.5" thickTop="1" thickBot="1" x14ac:dyDescent="0.3">
      <c r="A157" s="55">
        <v>0</v>
      </c>
      <c r="B157" s="55">
        <v>0</v>
      </c>
      <c r="C157" s="55">
        <v>-500</v>
      </c>
      <c r="D157" s="55"/>
      <c r="L157" s="37" t="s">
        <v>9</v>
      </c>
      <c r="M157" s="35">
        <f t="shared" si="4"/>
        <v>7.8646576409220188</v>
      </c>
      <c r="N157" s="36">
        <f t="shared" si="5"/>
        <v>1113.2427556781915</v>
      </c>
    </row>
    <row r="158" spans="1:14" ht="14.25" thickTop="1" thickBot="1" x14ac:dyDescent="0.25">
      <c r="A158" t="s">
        <v>70</v>
      </c>
      <c r="L158" s="37" t="s">
        <v>10</v>
      </c>
      <c r="M158" s="35">
        <f t="shared" si="4"/>
        <v>7.8646576409220188</v>
      </c>
      <c r="N158" s="36">
        <f t="shared" si="5"/>
        <v>384.98768491085264</v>
      </c>
    </row>
    <row r="159" spans="1:14" ht="16.5" thickTop="1" thickBot="1" x14ac:dyDescent="0.3">
      <c r="A159" s="55" t="s">
        <v>67</v>
      </c>
      <c r="B159" s="55" t="s">
        <v>68</v>
      </c>
      <c r="C159" s="55" t="s">
        <v>69</v>
      </c>
      <c r="D159" s="55" t="s">
        <v>4</v>
      </c>
      <c r="L159" s="37" t="s">
        <v>6</v>
      </c>
      <c r="M159" s="35">
        <f t="shared" si="4"/>
        <v>-150.4502623788178</v>
      </c>
      <c r="N159" s="36">
        <f t="shared" si="5"/>
        <v>579.73397461876039</v>
      </c>
    </row>
    <row r="160" spans="1:14" ht="16.5" thickTop="1" thickBot="1" x14ac:dyDescent="0.3">
      <c r="A160" s="55">
        <v>1</v>
      </c>
      <c r="B160" s="55">
        <v>0</v>
      </c>
      <c r="C160" s="55">
        <v>0</v>
      </c>
      <c r="D160" s="55">
        <v>0</v>
      </c>
      <c r="L160" s="37"/>
      <c r="M160" s="35"/>
      <c r="N160" s="36"/>
    </row>
    <row r="161" spans="1:14" ht="16.5" thickTop="1" thickBot="1" x14ac:dyDescent="0.3">
      <c r="A161" s="55">
        <v>0</v>
      </c>
      <c r="B161" s="55">
        <v>1</v>
      </c>
      <c r="C161" s="55">
        <v>0</v>
      </c>
      <c r="D161" s="55">
        <v>0</v>
      </c>
      <c r="L161" s="37" t="s">
        <v>7</v>
      </c>
      <c r="M161" s="35">
        <f t="shared" si="4"/>
        <v>-263.85820003289973</v>
      </c>
      <c r="N161" s="36">
        <f t="shared" si="5"/>
        <v>506.64091720501358</v>
      </c>
    </row>
    <row r="162" spans="1:14" ht="16.5" thickTop="1" thickBot="1" x14ac:dyDescent="0.3">
      <c r="A162" s="55">
        <v>0</v>
      </c>
      <c r="B162" s="55">
        <v>0</v>
      </c>
      <c r="C162" s="55">
        <v>1</v>
      </c>
      <c r="D162" s="55">
        <f>-(1/C157)</f>
        <v>2E-3</v>
      </c>
      <c r="L162" s="37" t="s">
        <v>16</v>
      </c>
      <c r="M162" s="35">
        <f t="shared" si="4"/>
        <v>-263.85820003289973</v>
      </c>
      <c r="N162" s="36">
        <f t="shared" si="5"/>
        <v>-221.61415356232538</v>
      </c>
    </row>
    <row r="163" spans="1:14" ht="16.5" thickTop="1" thickBot="1" x14ac:dyDescent="0.3">
      <c r="A163" s="55">
        <v>0</v>
      </c>
      <c r="B163" s="55">
        <v>0</v>
      </c>
      <c r="C163" s="55">
        <v>0</v>
      </c>
      <c r="D163" s="55">
        <v>1</v>
      </c>
      <c r="L163" s="37" t="s">
        <v>17</v>
      </c>
      <c r="M163" s="35">
        <f t="shared" si="4"/>
        <v>263.85820003289973</v>
      </c>
      <c r="N163" s="36">
        <f t="shared" si="5"/>
        <v>-870.76845258868457</v>
      </c>
    </row>
    <row r="164" spans="1:14" ht="14.25" thickTop="1" thickBot="1" x14ac:dyDescent="0.25">
      <c r="L164" s="37" t="s">
        <v>14</v>
      </c>
      <c r="M164" s="35">
        <f t="shared" si="4"/>
        <v>263.85820003289973</v>
      </c>
      <c r="N164" s="36">
        <f t="shared" si="5"/>
        <v>-142.51338182134555</v>
      </c>
    </row>
    <row r="165" spans="1:14" ht="16.5" thickTop="1" thickBot="1" x14ac:dyDescent="0.3">
      <c r="B165" s="55" t="s">
        <v>73</v>
      </c>
      <c r="C165" s="55" t="s">
        <v>72</v>
      </c>
      <c r="D165" s="55" t="s">
        <v>71</v>
      </c>
      <c r="E165" s="55" t="s">
        <v>4</v>
      </c>
      <c r="L165" s="37" t="s">
        <v>13</v>
      </c>
      <c r="M165" s="35">
        <f t="shared" si="4"/>
        <v>105.54328001315986</v>
      </c>
      <c r="N165" s="36">
        <f t="shared" si="5"/>
        <v>52.232907886562202</v>
      </c>
    </row>
    <row r="166" spans="1:14" ht="16.5" thickTop="1" thickBot="1" x14ac:dyDescent="0.3">
      <c r="A166" s="48" t="s">
        <v>3</v>
      </c>
      <c r="B166" s="55">
        <f t="array" ref="B166:E198">MMULT(G118:J150,A160:D163)</f>
        <v>-150.4502623788178</v>
      </c>
      <c r="C166" s="55">
        <v>-512.64863153224815</v>
      </c>
      <c r="D166" s="55">
        <v>6925.644814682475</v>
      </c>
      <c r="E166" s="55">
        <v>14.851289629364951</v>
      </c>
      <c r="L166" s="37" t="s">
        <v>12</v>
      </c>
      <c r="M166" s="35">
        <f t="shared" si="4"/>
        <v>105.54328001315986</v>
      </c>
      <c r="N166" s="36">
        <f t="shared" si="5"/>
        <v>780.48797865390088</v>
      </c>
    </row>
    <row r="167" spans="1:14" ht="16.5" thickTop="1" thickBot="1" x14ac:dyDescent="0.3">
      <c r="A167" s="48" t="s">
        <v>30</v>
      </c>
      <c r="B167" s="55">
        <v>-190.59923325372134</v>
      </c>
      <c r="C167" s="55">
        <v>-471.18023633054315</v>
      </c>
      <c r="D167" s="55">
        <v>6048.3800699576677</v>
      </c>
      <c r="E167" s="55">
        <v>13.096760139915336</v>
      </c>
      <c r="L167" s="37" t="s">
        <v>5</v>
      </c>
      <c r="M167" s="35">
        <f t="shared" si="4"/>
        <v>-105.54328001315992</v>
      </c>
      <c r="N167" s="36">
        <f t="shared" si="5"/>
        <v>1040.1496982644446</v>
      </c>
    </row>
    <row r="168" spans="1:14" ht="16.5" thickTop="1" thickBot="1" x14ac:dyDescent="0.3">
      <c r="A168" s="48" t="s">
        <v>31</v>
      </c>
      <c r="B168" s="55">
        <v>-530.82304621596711</v>
      </c>
      <c r="C168" s="55">
        <v>-690.45940857178346</v>
      </c>
      <c r="D168" s="55">
        <v>5936.2890278774585</v>
      </c>
      <c r="E168" s="55">
        <v>12.872578055754918</v>
      </c>
      <c r="L168" s="37" t="s">
        <v>8</v>
      </c>
      <c r="M168" s="35">
        <f t="shared" si="4"/>
        <v>-105.54328001315992</v>
      </c>
      <c r="N168" s="36">
        <f t="shared" si="5"/>
        <v>311.89462749710583</v>
      </c>
    </row>
    <row r="169" spans="1:14" ht="16.5" thickTop="1" thickBot="1" x14ac:dyDescent="0.3">
      <c r="A169" s="48" t="s">
        <v>32</v>
      </c>
      <c r="B169" s="55">
        <v>-226.81587530816387</v>
      </c>
      <c r="C169" s="55">
        <v>-692.37741790299856</v>
      </c>
      <c r="D169" s="55">
        <v>5935.3085806126401</v>
      </c>
      <c r="E169" s="55">
        <v>12.87061716122528</v>
      </c>
      <c r="L169" s="37" t="s">
        <v>7</v>
      </c>
      <c r="M169" s="35">
        <f t="shared" si="4"/>
        <v>-263.85820003289973</v>
      </c>
      <c r="N169" s="36">
        <f t="shared" si="5"/>
        <v>506.64091720501358</v>
      </c>
    </row>
    <row r="170" spans="1:14" ht="16.5" thickTop="1" thickBot="1" x14ac:dyDescent="0.3">
      <c r="A170" s="48" t="s">
        <v>34</v>
      </c>
      <c r="B170" s="55">
        <v>-79.157460009869936</v>
      </c>
      <c r="C170" s="55">
        <v>825.62821562129216</v>
      </c>
      <c r="D170" s="55">
        <v>3566.663210579356</v>
      </c>
      <c r="E170" s="55">
        <v>8.1333264211587135</v>
      </c>
      <c r="L170" s="37"/>
      <c r="M170" s="35"/>
      <c r="N170" s="36"/>
    </row>
    <row r="171" spans="1:14" ht="16.5" thickTop="1" thickBot="1" x14ac:dyDescent="0.3">
      <c r="A171" s="48" t="s">
        <v>37</v>
      </c>
      <c r="B171" s="55">
        <v>0</v>
      </c>
      <c r="C171" s="55">
        <v>-7.9580786405131221E-13</v>
      </c>
      <c r="D171" s="55">
        <v>4941.5439858085338</v>
      </c>
      <c r="E171" s="55">
        <v>10.883087971617067</v>
      </c>
      <c r="L171" s="37" t="s">
        <v>28</v>
      </c>
      <c r="M171" s="35">
        <f t="shared" si="4"/>
        <v>-336.29148414178474</v>
      </c>
      <c r="N171" s="36">
        <f t="shared" si="5"/>
        <v>-664.00851670723591</v>
      </c>
    </row>
    <row r="172" spans="1:14" ht="16.5" thickTop="1" thickBot="1" x14ac:dyDescent="0.3">
      <c r="A172" s="48" t="s">
        <v>38</v>
      </c>
      <c r="B172" s="55">
        <v>79.157460009869908</v>
      </c>
      <c r="C172" s="55">
        <v>84.690622837880255</v>
      </c>
      <c r="D172" s="55">
        <v>4535.6048340528578</v>
      </c>
      <c r="E172" s="55">
        <v>10.071209668105716</v>
      </c>
      <c r="L172" s="37" t="s">
        <v>0</v>
      </c>
      <c r="M172" s="35">
        <f t="shared" si="4"/>
        <v>-336.29148414178474</v>
      </c>
      <c r="N172" s="36">
        <f t="shared" si="5"/>
        <v>-1028.1360520909054</v>
      </c>
    </row>
    <row r="173" spans="1:14" ht="16.5" thickTop="1" thickBot="1" x14ac:dyDescent="0.3">
      <c r="A173" s="48" t="s">
        <v>39</v>
      </c>
      <c r="B173" s="55">
        <v>-189.773550583428</v>
      </c>
      <c r="C173" s="55">
        <v>-1163.1406822436716</v>
      </c>
      <c r="D173" s="55">
        <v>5694.6639980301507</v>
      </c>
      <c r="E173" s="55">
        <v>12.389327996060301</v>
      </c>
      <c r="L173" s="37" t="s">
        <v>22</v>
      </c>
      <c r="M173" s="35">
        <f t="shared" si="4"/>
        <v>-19.661644102305047</v>
      </c>
      <c r="N173" s="36">
        <f t="shared" si="5"/>
        <v>-1417.6286315067209</v>
      </c>
    </row>
    <row r="174" spans="1:14" ht="16.5" thickTop="1" thickBot="1" x14ac:dyDescent="0.3">
      <c r="A174" s="48" t="s">
        <v>6</v>
      </c>
      <c r="B174" s="55">
        <v>-150.4502623788178</v>
      </c>
      <c r="C174" s="55">
        <v>579.73397461876039</v>
      </c>
      <c r="D174" s="55">
        <v>4788.6609023006495</v>
      </c>
      <c r="E174" s="55">
        <v>10.577321804601299</v>
      </c>
      <c r="L174" s="37" t="s">
        <v>23</v>
      </c>
      <c r="M174" s="35">
        <f t="shared" si="4"/>
        <v>-19.661644102305047</v>
      </c>
      <c r="N174" s="36">
        <f t="shared" si="5"/>
        <v>-1053.5010961230514</v>
      </c>
    </row>
    <row r="175" spans="1:14" ht="16.5" thickTop="1" thickBot="1" x14ac:dyDescent="0.3">
      <c r="A175" s="48" t="s">
        <v>7</v>
      </c>
      <c r="B175" s="55">
        <v>-263.85820003289973</v>
      </c>
      <c r="C175" s="55">
        <v>506.64091720501358</v>
      </c>
      <c r="D175" s="55">
        <v>4751.2972216072467</v>
      </c>
      <c r="E175" s="55">
        <v>10.502594443214493</v>
      </c>
      <c r="L175" s="37" t="s">
        <v>28</v>
      </c>
      <c r="M175" s="35">
        <f t="shared" si="4"/>
        <v>-336.29148414178474</v>
      </c>
      <c r="N175" s="36">
        <f t="shared" si="5"/>
        <v>-664.00851670723591</v>
      </c>
    </row>
    <row r="176" spans="1:14" ht="16.5" thickTop="1" thickBot="1" x14ac:dyDescent="0.3">
      <c r="A176" s="48" t="s">
        <v>8</v>
      </c>
      <c r="B176" s="55">
        <v>-105.54328001315992</v>
      </c>
      <c r="C176" s="55">
        <v>311.89462749710583</v>
      </c>
      <c r="D176" s="55">
        <v>4651.7468888898366</v>
      </c>
      <c r="E176" s="55">
        <v>10.303493777779673</v>
      </c>
      <c r="L176" s="37"/>
      <c r="M176" s="35"/>
      <c r="N176" s="36"/>
    </row>
    <row r="177" spans="1:14" ht="16.5" thickTop="1" thickBot="1" x14ac:dyDescent="0.3">
      <c r="A177" s="48" t="s">
        <v>5</v>
      </c>
      <c r="B177" s="55">
        <v>-105.54328001315992</v>
      </c>
      <c r="C177" s="55">
        <v>1040.1496982644446</v>
      </c>
      <c r="D177" s="55">
        <v>3227.0909473019533</v>
      </c>
      <c r="E177" s="55">
        <v>7.4541818946039067</v>
      </c>
      <c r="L177" s="37" t="s">
        <v>24</v>
      </c>
      <c r="M177" s="35">
        <f t="shared" si="4"/>
        <v>-717.48995064922747</v>
      </c>
      <c r="N177" s="36">
        <f t="shared" si="5"/>
        <v>-513.98638321731244</v>
      </c>
    </row>
    <row r="178" spans="1:14" ht="16.5" thickTop="1" thickBot="1" x14ac:dyDescent="0.3">
      <c r="A178" s="48" t="s">
        <v>9</v>
      </c>
      <c r="B178" s="55">
        <v>7.8646576409220188</v>
      </c>
      <c r="C178" s="55">
        <v>1113.2427556781915</v>
      </c>
      <c r="D178" s="55">
        <v>3264.4546279953565</v>
      </c>
      <c r="E178" s="55">
        <v>7.5289092559907136</v>
      </c>
      <c r="L178" s="37" t="s">
        <v>25</v>
      </c>
      <c r="M178" s="35">
        <f t="shared" si="4"/>
        <v>-717.48995064922747</v>
      </c>
      <c r="N178" s="36">
        <f t="shared" si="5"/>
        <v>-878.11391860098195</v>
      </c>
    </row>
    <row r="179" spans="1:14" ht="16.5" thickTop="1" thickBot="1" x14ac:dyDescent="0.3">
      <c r="A179" s="48" t="s">
        <v>10</v>
      </c>
      <c r="B179" s="55">
        <v>7.8646576409220188</v>
      </c>
      <c r="C179" s="55">
        <v>384.98768491085264</v>
      </c>
      <c r="D179" s="55">
        <v>4689.1105695832393</v>
      </c>
      <c r="E179" s="55">
        <v>10.378221139166479</v>
      </c>
      <c r="L179" s="37" t="s">
        <v>26</v>
      </c>
      <c r="M179" s="35">
        <f t="shared" si="4"/>
        <v>-506.40339062290769</v>
      </c>
      <c r="N179" s="36">
        <f t="shared" si="5"/>
        <v>-1137.7756382115256</v>
      </c>
    </row>
    <row r="180" spans="1:14" ht="16.5" thickTop="1" thickBot="1" x14ac:dyDescent="0.3">
      <c r="A180" s="48" t="s">
        <v>4</v>
      </c>
      <c r="B180" s="55">
        <v>218.95121766724179</v>
      </c>
      <c r="C180" s="55">
        <v>125.32596530030901</v>
      </c>
      <c r="D180" s="55">
        <v>4556.3767926266928</v>
      </c>
      <c r="E180" s="55">
        <v>10.112753585253385</v>
      </c>
      <c r="L180" s="37" t="s">
        <v>27</v>
      </c>
      <c r="M180" s="35">
        <f t="shared" si="4"/>
        <v>-506.40339062290769</v>
      </c>
      <c r="N180" s="36">
        <f t="shared" si="5"/>
        <v>-773.64810282785606</v>
      </c>
    </row>
    <row r="181" spans="1:14" ht="16.5" thickTop="1" thickBot="1" x14ac:dyDescent="0.3">
      <c r="A181" s="48" t="s">
        <v>11</v>
      </c>
      <c r="B181" s="55">
        <v>218.95121766724179</v>
      </c>
      <c r="C181" s="55">
        <v>853.5810360676478</v>
      </c>
      <c r="D181" s="55">
        <v>3131.7208510388095</v>
      </c>
      <c r="E181" s="55">
        <v>7.2634417020776194</v>
      </c>
      <c r="L181" s="37" t="s">
        <v>24</v>
      </c>
      <c r="M181" s="35">
        <f t="shared" si="4"/>
        <v>-717.48995064922747</v>
      </c>
      <c r="N181" s="36">
        <f t="shared" si="5"/>
        <v>-513.98638321731244</v>
      </c>
    </row>
    <row r="182" spans="1:14" ht="16.5" thickTop="1" thickBot="1" x14ac:dyDescent="0.3">
      <c r="A182" s="48" t="s">
        <v>12</v>
      </c>
      <c r="B182" s="55">
        <v>105.54328001315986</v>
      </c>
      <c r="C182" s="55">
        <v>780.48797865390088</v>
      </c>
      <c r="D182" s="55">
        <v>3094.3571703454068</v>
      </c>
      <c r="E182" s="55">
        <v>7.1887143406908134</v>
      </c>
      <c r="L182" s="37"/>
      <c r="M182" s="35"/>
      <c r="N182" s="36"/>
    </row>
    <row r="183" spans="1:14" ht="16.5" thickTop="1" thickBot="1" x14ac:dyDescent="0.3">
      <c r="A183" s="48" t="s">
        <v>13</v>
      </c>
      <c r="B183" s="55">
        <v>105.54328001315986</v>
      </c>
      <c r="C183" s="55">
        <v>52.232907886562202</v>
      </c>
      <c r="D183" s="55">
        <v>4519.01311193329</v>
      </c>
      <c r="E183" s="55">
        <v>10.038026223866581</v>
      </c>
      <c r="L183" s="37" t="s">
        <v>1</v>
      </c>
      <c r="M183" s="35">
        <f t="shared" ref="M183:M192" si="6">VLOOKUP(L183, $F$118:$J$150, 2)</f>
        <v>-213.05272443655031</v>
      </c>
      <c r="N183" s="36">
        <f t="shared" ref="N183:N192" si="7">VLOOKUP(L183, $F$118:$J$150, 3)</f>
        <v>-337.26056276971593</v>
      </c>
    </row>
    <row r="184" spans="1:14" ht="16.5" thickTop="1" thickBot="1" x14ac:dyDescent="0.3">
      <c r="A184" s="48" t="s">
        <v>14</v>
      </c>
      <c r="B184" s="55">
        <v>263.85820003289973</v>
      </c>
      <c r="C184" s="55">
        <v>-142.51338182134555</v>
      </c>
      <c r="D184" s="55">
        <v>4419.4627792158799</v>
      </c>
      <c r="E184" s="55">
        <v>9.8389255584317592</v>
      </c>
      <c r="L184" s="37" t="s">
        <v>2</v>
      </c>
      <c r="M184" s="35">
        <f t="shared" si="6"/>
        <v>-411.51661533119369</v>
      </c>
      <c r="N184" s="36">
        <f t="shared" si="7"/>
        <v>-465.17341324377281</v>
      </c>
    </row>
    <row r="185" spans="1:14" ht="16.5" thickTop="1" thickBot="1" x14ac:dyDescent="0.3">
      <c r="A185" s="48" t="s">
        <v>15</v>
      </c>
      <c r="B185" s="55">
        <v>377.26613768698166</v>
      </c>
      <c r="C185" s="55">
        <v>-69.420324407598741</v>
      </c>
      <c r="D185" s="55">
        <v>4456.8264599092827</v>
      </c>
      <c r="E185" s="55">
        <v>9.9136529198185652</v>
      </c>
      <c r="L185" s="37" t="s">
        <v>32</v>
      </c>
      <c r="M185" s="35">
        <f t="shared" si="6"/>
        <v>-226.81587530816387</v>
      </c>
      <c r="N185" s="36">
        <f t="shared" si="7"/>
        <v>-692.37741790299856</v>
      </c>
    </row>
    <row r="186" spans="1:14" ht="16.5" thickTop="1" thickBot="1" x14ac:dyDescent="0.3">
      <c r="A186" s="48" t="s">
        <v>21</v>
      </c>
      <c r="B186" s="55">
        <v>377.26613768698166</v>
      </c>
      <c r="C186" s="55">
        <v>-1161.8029305586074</v>
      </c>
      <c r="D186" s="55">
        <v>6593.8103722911083</v>
      </c>
      <c r="E186" s="55">
        <v>14.187620744582217</v>
      </c>
      <c r="L186" s="37"/>
      <c r="M186" s="35"/>
      <c r="N186" s="36"/>
    </row>
    <row r="187" spans="1:14" ht="16.5" thickTop="1" thickBot="1" x14ac:dyDescent="0.3">
      <c r="A187" s="48" t="s">
        <v>22</v>
      </c>
      <c r="B187" s="55">
        <v>-19.661644102305047</v>
      </c>
      <c r="C187" s="55">
        <v>-1417.6286315067209</v>
      </c>
      <c r="D187" s="55">
        <v>6463.0374898641967</v>
      </c>
      <c r="E187" s="55">
        <v>13.926074979728394</v>
      </c>
      <c r="L187" s="42" t="s">
        <v>30</v>
      </c>
      <c r="M187" s="35">
        <f t="shared" si="6"/>
        <v>-190.59923325372134</v>
      </c>
      <c r="N187" s="36">
        <f t="shared" si="7"/>
        <v>-471.18023633054315</v>
      </c>
    </row>
    <row r="188" spans="1:14" ht="16.5" thickTop="1" thickBot="1" x14ac:dyDescent="0.3">
      <c r="A188" s="48" t="s">
        <v>23</v>
      </c>
      <c r="B188" s="55">
        <v>-19.661644102305047</v>
      </c>
      <c r="C188" s="55">
        <v>-1053.5010961230514</v>
      </c>
      <c r="D188" s="55">
        <v>5750.7095190702548</v>
      </c>
      <c r="E188" s="55">
        <v>12.50141903814051</v>
      </c>
      <c r="L188" s="42" t="s">
        <v>31</v>
      </c>
      <c r="M188" s="35">
        <f t="shared" si="6"/>
        <v>-530.82304621596711</v>
      </c>
      <c r="N188" s="36">
        <f t="shared" si="7"/>
        <v>-690.45940857178346</v>
      </c>
    </row>
    <row r="189" spans="1:14" ht="16.5" thickTop="1" thickBot="1" x14ac:dyDescent="0.3">
      <c r="A189" s="48" t="s">
        <v>17</v>
      </c>
      <c r="B189" s="55">
        <v>263.85820003289973</v>
      </c>
      <c r="C189" s="55">
        <v>-870.76845258868457</v>
      </c>
      <c r="D189" s="55">
        <v>5844.1187208037627</v>
      </c>
      <c r="E189" s="55">
        <v>12.688237441607525</v>
      </c>
      <c r="L189" s="42"/>
      <c r="M189" s="35"/>
      <c r="N189" s="36"/>
    </row>
    <row r="190" spans="1:14" ht="16.5" thickTop="1" thickBot="1" x14ac:dyDescent="0.3">
      <c r="A190" s="48" t="s">
        <v>16</v>
      </c>
      <c r="B190" s="55">
        <v>-263.85820003289973</v>
      </c>
      <c r="C190" s="55">
        <v>-221.61415356232538</v>
      </c>
      <c r="D190" s="55">
        <v>6175.9531631951304</v>
      </c>
      <c r="E190" s="55">
        <v>13.35190632639026</v>
      </c>
      <c r="L190" s="42" t="s">
        <v>34</v>
      </c>
      <c r="M190" s="35">
        <f t="shared" si="6"/>
        <v>-79.157460009869936</v>
      </c>
      <c r="N190" s="36">
        <f t="shared" si="7"/>
        <v>825.62821562129216</v>
      </c>
    </row>
    <row r="191" spans="1:14" ht="16.5" thickTop="1" thickBot="1" x14ac:dyDescent="0.3">
      <c r="A191" s="48" t="s">
        <v>24</v>
      </c>
      <c r="B191" s="55">
        <v>-717.48995064922747</v>
      </c>
      <c r="C191" s="55">
        <v>-513.98638321731244</v>
      </c>
      <c r="D191" s="55">
        <v>6026.4984404215174</v>
      </c>
      <c r="E191" s="55">
        <v>13.052996880843034</v>
      </c>
      <c r="L191" s="42" t="s">
        <v>37</v>
      </c>
      <c r="M191" s="35">
        <f t="shared" si="6"/>
        <v>0</v>
      </c>
      <c r="N191" s="36">
        <f t="shared" si="7"/>
        <v>-7.9580786405131221E-13</v>
      </c>
    </row>
    <row r="192" spans="1:14" ht="16.5" thickTop="1" thickBot="1" x14ac:dyDescent="0.3">
      <c r="A192" s="48" t="s">
        <v>25</v>
      </c>
      <c r="B192" s="55">
        <v>-717.48995064922747</v>
      </c>
      <c r="C192" s="55">
        <v>-878.11391860098195</v>
      </c>
      <c r="D192" s="55">
        <v>6738.8264112154593</v>
      </c>
      <c r="E192" s="55">
        <v>14.477652822430919</v>
      </c>
      <c r="L192" s="43" t="s">
        <v>38</v>
      </c>
      <c r="M192" s="35">
        <f t="shared" si="6"/>
        <v>79.157460009869908</v>
      </c>
      <c r="N192" s="36">
        <f t="shared" si="7"/>
        <v>84.690622837880255</v>
      </c>
    </row>
    <row r="193" spans="1:8" ht="15.75" thickTop="1" x14ac:dyDescent="0.25">
      <c r="A193" s="48" t="s">
        <v>26</v>
      </c>
      <c r="B193" s="55">
        <v>-506.40339062290769</v>
      </c>
      <c r="C193" s="55">
        <v>-1137.7756382115256</v>
      </c>
      <c r="D193" s="55">
        <v>6606.0926342589128</v>
      </c>
      <c r="E193" s="55">
        <v>14.212185268517826</v>
      </c>
    </row>
    <row r="194" spans="1:8" ht="15" x14ac:dyDescent="0.25">
      <c r="A194" s="48" t="s">
        <v>27</v>
      </c>
      <c r="B194" s="55">
        <v>-506.40339062290769</v>
      </c>
      <c r="C194" s="55">
        <v>-773.64810282785606</v>
      </c>
      <c r="D194" s="55">
        <v>5893.7646634649709</v>
      </c>
      <c r="E194" s="55">
        <v>12.787529326929942</v>
      </c>
    </row>
    <row r="195" spans="1:8" ht="15" x14ac:dyDescent="0.25">
      <c r="A195" s="48" t="s">
        <v>28</v>
      </c>
      <c r="B195" s="55">
        <v>-336.29148414178474</v>
      </c>
      <c r="C195" s="55">
        <v>-664.00851670723591</v>
      </c>
      <c r="D195" s="55">
        <v>5949.8101845050751</v>
      </c>
      <c r="E195" s="55">
        <v>12.899620369010151</v>
      </c>
    </row>
    <row r="196" spans="1:8" ht="15" x14ac:dyDescent="0.25">
      <c r="A196" s="48" t="s">
        <v>0</v>
      </c>
      <c r="B196" s="55">
        <v>-336.29148414178474</v>
      </c>
      <c r="C196" s="55">
        <v>-1028.1360520909054</v>
      </c>
      <c r="D196" s="55">
        <v>6662.1381552990169</v>
      </c>
      <c r="E196" s="55">
        <v>14.324276310598034</v>
      </c>
    </row>
    <row r="197" spans="1:8" ht="15" x14ac:dyDescent="0.25">
      <c r="A197" s="48" t="s">
        <v>1</v>
      </c>
      <c r="B197" s="55">
        <v>-213.05272443655031</v>
      </c>
      <c r="C197" s="55">
        <v>-337.26056276971593</v>
      </c>
      <c r="D197" s="55">
        <v>6116.8370766630742</v>
      </c>
      <c r="E197" s="55">
        <v>13.233674153326149</v>
      </c>
    </row>
    <row r="198" spans="1:8" ht="15" x14ac:dyDescent="0.25">
      <c r="A198" s="48" t="s">
        <v>2</v>
      </c>
      <c r="B198" s="55">
        <v>-411.51661533119369</v>
      </c>
      <c r="C198" s="55">
        <v>-465.17341324377281</v>
      </c>
      <c r="D198" s="55">
        <v>6051.4506354496189</v>
      </c>
      <c r="E198" s="55">
        <v>13.102901270899238</v>
      </c>
    </row>
    <row r="200" spans="1:8" ht="15.75" thickBot="1" x14ac:dyDescent="0.3">
      <c r="B200" s="55" t="s">
        <v>26</v>
      </c>
      <c r="C200" s="55" t="s">
        <v>27</v>
      </c>
      <c r="D200" s="55" t="s">
        <v>21</v>
      </c>
      <c r="E200" s="55" t="s">
        <v>4</v>
      </c>
      <c r="F200" t="s">
        <v>33</v>
      </c>
    </row>
    <row r="201" spans="1:8" ht="16.5" thickTop="1" thickBot="1" x14ac:dyDescent="0.3">
      <c r="A201" s="48" t="s">
        <v>3</v>
      </c>
      <c r="B201" s="55">
        <f t="shared" ref="B201:B233" si="8">B166/E166</f>
        <v>-10.130451033783464</v>
      </c>
      <c r="C201" s="55">
        <f t="shared" ref="C201:C233" si="9">C166/E166</f>
        <v>-34.518795628266879</v>
      </c>
      <c r="D201" s="55">
        <f t="shared" ref="D201:D233" si="10">D166/E166</f>
        <v>466.33289010730977</v>
      </c>
      <c r="E201" s="55">
        <f t="shared" ref="E201:E233" si="11">E166</f>
        <v>14.851289629364951</v>
      </c>
      <c r="F201" s="34" t="s">
        <v>3</v>
      </c>
      <c r="G201" s="35">
        <f t="shared" ref="G201:G207" si="12">VLOOKUP(F201, $A$201:$E$233, 2)</f>
        <v>-10.130451033783464</v>
      </c>
      <c r="H201" s="36">
        <f t="shared" ref="H201:H207" si="13">VLOOKUP(F201,$A$201:$E$233,  3)</f>
        <v>-34.518795628266879</v>
      </c>
    </row>
    <row r="202" spans="1:8" ht="16.5" thickTop="1" thickBot="1" x14ac:dyDescent="0.3">
      <c r="A202" s="48" t="s">
        <v>30</v>
      </c>
      <c r="B202" s="55">
        <f t="shared" si="8"/>
        <v>-14.553159042199079</v>
      </c>
      <c r="C202" s="55">
        <f t="shared" si="9"/>
        <v>-35.976854679846731</v>
      </c>
      <c r="D202" s="55">
        <f t="shared" si="10"/>
        <v>461.82261913187693</v>
      </c>
      <c r="E202" s="55">
        <f t="shared" si="11"/>
        <v>13.096760139915336</v>
      </c>
      <c r="F202" s="37" t="s">
        <v>25</v>
      </c>
      <c r="G202" s="35">
        <f t="shared" si="12"/>
        <v>-49.558444276104346</v>
      </c>
      <c r="H202" s="36">
        <f t="shared" si="13"/>
        <v>-60.653058155979409</v>
      </c>
    </row>
    <row r="203" spans="1:8" ht="16.5" thickTop="1" thickBot="1" x14ac:dyDescent="0.3">
      <c r="A203" s="48" t="s">
        <v>31</v>
      </c>
      <c r="B203" s="55">
        <f t="shared" si="8"/>
        <v>-41.23673159462048</v>
      </c>
      <c r="C203" s="55">
        <f t="shared" si="9"/>
        <v>-53.638005190661957</v>
      </c>
      <c r="D203" s="55">
        <f t="shared" si="10"/>
        <v>461.15774184204952</v>
      </c>
      <c r="E203" s="55">
        <f t="shared" si="11"/>
        <v>12.872578055754918</v>
      </c>
      <c r="F203" s="37" t="s">
        <v>26</v>
      </c>
      <c r="G203" s="35">
        <f t="shared" si="12"/>
        <v>-35.631634478103024</v>
      </c>
      <c r="H203" s="36">
        <f t="shared" si="13"/>
        <v>-80.056347191861718</v>
      </c>
    </row>
    <row r="204" spans="1:8" ht="16.5" thickTop="1" thickBot="1" x14ac:dyDescent="0.3">
      <c r="A204" s="48" t="s">
        <v>32</v>
      </c>
      <c r="B204" s="55">
        <f t="shared" si="8"/>
        <v>-17.622766062180894</v>
      </c>
      <c r="C204" s="55">
        <f t="shared" si="9"/>
        <v>-53.795199502079228</v>
      </c>
      <c r="D204" s="55">
        <f t="shared" si="10"/>
        <v>461.15182405500127</v>
      </c>
      <c r="E204" s="55">
        <f t="shared" si="11"/>
        <v>12.87061716122528</v>
      </c>
      <c r="F204" s="37" t="s">
        <v>0</v>
      </c>
      <c r="G204" s="35">
        <f t="shared" si="12"/>
        <v>-23.477031359202027</v>
      </c>
      <c r="H204" s="36">
        <f t="shared" si="13"/>
        <v>-71.775776297349367</v>
      </c>
    </row>
    <row r="205" spans="1:8" ht="16.5" thickTop="1" thickBot="1" x14ac:dyDescent="0.3">
      <c r="A205" s="48" t="s">
        <v>34</v>
      </c>
      <c r="B205" s="55">
        <f t="shared" si="8"/>
        <v>-9.7324828626013478</v>
      </c>
      <c r="C205" s="55">
        <f t="shared" si="9"/>
        <v>101.51175212560436</v>
      </c>
      <c r="D205" s="55">
        <f t="shared" si="10"/>
        <v>438.52453791854964</v>
      </c>
      <c r="E205" s="55">
        <f t="shared" si="11"/>
        <v>8.1333264211587135</v>
      </c>
      <c r="F205" s="37" t="s">
        <v>22</v>
      </c>
      <c r="G205" s="35">
        <f t="shared" si="12"/>
        <v>-1.411858268099639</v>
      </c>
      <c r="H205" s="36">
        <f t="shared" si="13"/>
        <v>-101.79671110275535</v>
      </c>
    </row>
    <row r="206" spans="1:8" ht="16.5" thickTop="1" thickBot="1" x14ac:dyDescent="0.3">
      <c r="A206" s="48" t="s">
        <v>37</v>
      </c>
      <c r="B206" s="55">
        <f t="shared" si="8"/>
        <v>0</v>
      </c>
      <c r="C206" s="55">
        <f t="shared" si="9"/>
        <v>-7.3123351214909532E-14</v>
      </c>
      <c r="D206" s="55">
        <f t="shared" si="10"/>
        <v>454.05715718700498</v>
      </c>
      <c r="E206" s="55">
        <f t="shared" si="11"/>
        <v>10.883087971617067</v>
      </c>
      <c r="F206" s="37" t="s">
        <v>21</v>
      </c>
      <c r="G206" s="35">
        <f t="shared" si="12"/>
        <v>26.591219520090931</v>
      </c>
      <c r="H206" s="36">
        <f t="shared" si="13"/>
        <v>-81.888496420533471</v>
      </c>
    </row>
    <row r="207" spans="1:8" ht="16.5" thickTop="1" thickBot="1" x14ac:dyDescent="0.3">
      <c r="A207" s="48" t="s">
        <v>38</v>
      </c>
      <c r="B207" s="55">
        <f t="shared" si="8"/>
        <v>7.8597767913175174</v>
      </c>
      <c r="C207" s="55">
        <f t="shared" si="9"/>
        <v>8.4091807865032386</v>
      </c>
      <c r="D207" s="55">
        <f t="shared" si="10"/>
        <v>450.353530859015</v>
      </c>
      <c r="E207" s="55">
        <f t="shared" si="11"/>
        <v>10.071209668105716</v>
      </c>
      <c r="F207" s="37" t="s">
        <v>3</v>
      </c>
      <c r="G207" s="35">
        <f t="shared" si="12"/>
        <v>-10.130451033783464</v>
      </c>
      <c r="H207" s="36">
        <f t="shared" si="13"/>
        <v>-34.518795628266879</v>
      </c>
    </row>
    <row r="208" spans="1:8" ht="16.5" thickTop="1" thickBot="1" x14ac:dyDescent="0.3">
      <c r="A208" s="48" t="s">
        <v>39</v>
      </c>
      <c r="B208" s="55">
        <f t="shared" si="8"/>
        <v>-15.317501533882577</v>
      </c>
      <c r="C208" s="55">
        <f t="shared" si="9"/>
        <v>-93.882467444040572</v>
      </c>
      <c r="D208" s="55">
        <f t="shared" si="10"/>
        <v>459.64268601501266</v>
      </c>
      <c r="E208" s="55">
        <f t="shared" si="11"/>
        <v>12.389327996060301</v>
      </c>
      <c r="F208" s="37"/>
      <c r="G208" s="35"/>
      <c r="H208" s="36"/>
    </row>
    <row r="209" spans="1:8" ht="16.5" thickTop="1" thickBot="1" x14ac:dyDescent="0.3">
      <c r="A209" s="48" t="s">
        <v>6</v>
      </c>
      <c r="B209" s="55">
        <f t="shared" si="8"/>
        <v>-14.22385223387735</v>
      </c>
      <c r="C209" s="55">
        <f t="shared" si="9"/>
        <v>54.809145956641608</v>
      </c>
      <c r="D209" s="55">
        <f t="shared" si="10"/>
        <v>452.7290547421473</v>
      </c>
      <c r="E209" s="55">
        <f t="shared" si="11"/>
        <v>10.577321804601299</v>
      </c>
      <c r="F209" s="37" t="s">
        <v>16</v>
      </c>
      <c r="G209" s="35">
        <f t="shared" ref="G209:G215" si="14">VLOOKUP(F209, $A$201:$E$233, 2)</f>
        <v>-19.761837267490389</v>
      </c>
      <c r="H209" s="36">
        <f t="shared" ref="H209:H215" si="15">VLOOKUP(F209,$A$201:$E$233,  3)</f>
        <v>-16.597941008940527</v>
      </c>
    </row>
    <row r="210" spans="1:8" ht="16.5" thickTop="1" thickBot="1" x14ac:dyDescent="0.3">
      <c r="A210" s="48" t="s">
        <v>7</v>
      </c>
      <c r="B210" s="55">
        <f t="shared" si="8"/>
        <v>-25.12314471053131</v>
      </c>
      <c r="C210" s="55">
        <f t="shared" si="9"/>
        <v>48.239596410612968</v>
      </c>
      <c r="D210" s="55">
        <f t="shared" si="10"/>
        <v>452.39271565674522</v>
      </c>
      <c r="E210" s="55">
        <f t="shared" si="11"/>
        <v>10.502594443214493</v>
      </c>
      <c r="F210" s="37" t="s">
        <v>24</v>
      </c>
      <c r="G210" s="35">
        <f t="shared" si="14"/>
        <v>-54.96744978942246</v>
      </c>
      <c r="H210" s="36">
        <f t="shared" si="15"/>
        <v>-39.376887002222006</v>
      </c>
    </row>
    <row r="211" spans="1:8" ht="16.5" thickTop="1" thickBot="1" x14ac:dyDescent="0.3">
      <c r="A211" s="48" t="s">
        <v>8</v>
      </c>
      <c r="B211" s="55">
        <f t="shared" si="8"/>
        <v>-10.243445795131418</v>
      </c>
      <c r="C211" s="55">
        <f t="shared" si="9"/>
        <v>30.270763900467635</v>
      </c>
      <c r="D211" s="55">
        <f t="shared" si="10"/>
        <v>451.47277119938764</v>
      </c>
      <c r="E211" s="55">
        <f t="shared" si="11"/>
        <v>10.303493777779673</v>
      </c>
      <c r="F211" s="37" t="s">
        <v>27</v>
      </c>
      <c r="G211" s="35">
        <f t="shared" si="14"/>
        <v>-39.601347349909545</v>
      </c>
      <c r="H211" s="36">
        <f t="shared" si="15"/>
        <v>-60.500201645566449</v>
      </c>
    </row>
    <row r="212" spans="1:8" ht="16.5" thickTop="1" thickBot="1" x14ac:dyDescent="0.3">
      <c r="A212" s="48" t="s">
        <v>5</v>
      </c>
      <c r="B212" s="55">
        <f t="shared" si="8"/>
        <v>-14.158935414436673</v>
      </c>
      <c r="C212" s="55">
        <f t="shared" si="9"/>
        <v>139.53908195041637</v>
      </c>
      <c r="D212" s="55">
        <f t="shared" si="10"/>
        <v>432.92355793437901</v>
      </c>
      <c r="E212" s="55">
        <f t="shared" si="11"/>
        <v>7.4541818946039067</v>
      </c>
      <c r="F212" s="37" t="s">
        <v>28</v>
      </c>
      <c r="G212" s="35">
        <f t="shared" si="14"/>
        <v>-26.069874501864117</v>
      </c>
      <c r="H212" s="36">
        <f t="shared" si="15"/>
        <v>-51.475043273555535</v>
      </c>
    </row>
    <row r="213" spans="1:8" ht="16.5" thickTop="1" thickBot="1" x14ac:dyDescent="0.3">
      <c r="A213" s="48" t="s">
        <v>9</v>
      </c>
      <c r="B213" s="55">
        <f t="shared" si="8"/>
        <v>1.0445945585894998</v>
      </c>
      <c r="C213" s="55">
        <f t="shared" si="9"/>
        <v>147.86242174354672</v>
      </c>
      <c r="D213" s="55">
        <f t="shared" si="10"/>
        <v>433.58931778834324</v>
      </c>
      <c r="E213" s="55">
        <f t="shared" si="11"/>
        <v>7.5289092559907136</v>
      </c>
      <c r="F213" s="37" t="s">
        <v>23</v>
      </c>
      <c r="G213" s="35">
        <f t="shared" si="14"/>
        <v>-1.5727529844667592</v>
      </c>
      <c r="H213" s="36">
        <f t="shared" si="15"/>
        <v>-84.270521043165644</v>
      </c>
    </row>
    <row r="214" spans="1:8" ht="16.5" thickTop="1" thickBot="1" x14ac:dyDescent="0.3">
      <c r="A214" s="48" t="s">
        <v>10</v>
      </c>
      <c r="B214" s="55">
        <f t="shared" si="8"/>
        <v>0.75780401433551114</v>
      </c>
      <c r="C214" s="55">
        <f t="shared" si="9"/>
        <v>37.095729581049639</v>
      </c>
      <c r="D214" s="55">
        <f t="shared" si="10"/>
        <v>451.82218674132457</v>
      </c>
      <c r="E214" s="55">
        <f t="shared" si="11"/>
        <v>10.378221139166479</v>
      </c>
      <c r="F214" s="37" t="s">
        <v>17</v>
      </c>
      <c r="G214" s="35">
        <f t="shared" si="14"/>
        <v>20.795496714748623</v>
      </c>
      <c r="H214" s="36">
        <f t="shared" si="15"/>
        <v>-68.628007364777318</v>
      </c>
    </row>
    <row r="215" spans="1:8" ht="16.5" thickTop="1" thickBot="1" x14ac:dyDescent="0.3">
      <c r="A215" s="48" t="s">
        <v>4</v>
      </c>
      <c r="B215" s="55">
        <f t="shared" si="8"/>
        <v>21.650998990672605</v>
      </c>
      <c r="C215" s="55">
        <f t="shared" si="9"/>
        <v>12.392862561494802</v>
      </c>
      <c r="D215" s="55">
        <f t="shared" si="10"/>
        <v>450.55748211554277</v>
      </c>
      <c r="E215" s="55">
        <f t="shared" si="11"/>
        <v>10.112753585253385</v>
      </c>
      <c r="F215" s="37" t="s">
        <v>16</v>
      </c>
      <c r="G215" s="35">
        <f t="shared" si="14"/>
        <v>-19.761837267490389</v>
      </c>
      <c r="H215" s="36">
        <f t="shared" si="15"/>
        <v>-16.597941008940527</v>
      </c>
    </row>
    <row r="216" spans="1:8" ht="16.5" thickTop="1" thickBot="1" x14ac:dyDescent="0.3">
      <c r="A216" s="48" t="s">
        <v>11</v>
      </c>
      <c r="B216" s="55">
        <f t="shared" si="8"/>
        <v>30.144279619483068</v>
      </c>
      <c r="C216" s="55">
        <f t="shared" si="9"/>
        <v>117.51743472016734</v>
      </c>
      <c r="D216" s="55">
        <f t="shared" si="10"/>
        <v>431.16211012515168</v>
      </c>
      <c r="E216" s="55">
        <f t="shared" si="11"/>
        <v>7.2634417020776194</v>
      </c>
      <c r="F216" s="37"/>
      <c r="G216" s="35"/>
      <c r="H216" s="36"/>
    </row>
    <row r="217" spans="1:8" ht="16.5" thickTop="1" thickBot="1" x14ac:dyDescent="0.3">
      <c r="A217" s="48" t="s">
        <v>12</v>
      </c>
      <c r="B217" s="55">
        <f t="shared" si="8"/>
        <v>14.68180192051107</v>
      </c>
      <c r="C217" s="55">
        <f t="shared" si="9"/>
        <v>108.57128850371016</v>
      </c>
      <c r="D217" s="55">
        <f t="shared" si="10"/>
        <v>430.44653378841156</v>
      </c>
      <c r="E217" s="55">
        <f t="shared" si="11"/>
        <v>7.1887143406908134</v>
      </c>
      <c r="F217" s="37" t="s">
        <v>6</v>
      </c>
      <c r="G217" s="35">
        <f>VLOOKUP(F217, $A$201:$E$233, 2)</f>
        <v>-14.22385223387735</v>
      </c>
      <c r="H217" s="36">
        <f>VLOOKUP(F217,$A$201:$E$233,  3)</f>
        <v>54.809145956641608</v>
      </c>
    </row>
    <row r="218" spans="1:8" ht="16.5" thickTop="1" thickBot="1" x14ac:dyDescent="0.3">
      <c r="A218" s="48" t="s">
        <v>13</v>
      </c>
      <c r="B218" s="55">
        <f t="shared" si="8"/>
        <v>10.514345914161728</v>
      </c>
      <c r="C218" s="55">
        <f t="shared" si="9"/>
        <v>5.2035038285088717</v>
      </c>
      <c r="D218" s="55">
        <f t="shared" si="10"/>
        <v>450.18941086135123</v>
      </c>
      <c r="E218" s="55">
        <f t="shared" si="11"/>
        <v>10.038026223866581</v>
      </c>
      <c r="F218" s="37" t="s">
        <v>7</v>
      </c>
      <c r="G218" s="35">
        <f>VLOOKUP(F218, $A$201:$E$233, 2)</f>
        <v>-25.12314471053131</v>
      </c>
      <c r="H218" s="36">
        <f>VLOOKUP(F218,$A$201:$E$233,  3)</f>
        <v>48.239596410612968</v>
      </c>
    </row>
    <row r="219" spans="1:8" ht="16.5" thickTop="1" thickBot="1" x14ac:dyDescent="0.3">
      <c r="A219" s="48" t="s">
        <v>14</v>
      </c>
      <c r="B219" s="55">
        <f t="shared" si="8"/>
        <v>26.817785993591407</v>
      </c>
      <c r="C219" s="55">
        <f t="shared" si="9"/>
        <v>-14.484648854692724</v>
      </c>
      <c r="D219" s="55">
        <f t="shared" si="10"/>
        <v>449.18144292986238</v>
      </c>
      <c r="E219" s="55">
        <f t="shared" si="11"/>
        <v>9.8389255584317592</v>
      </c>
      <c r="F219" s="37" t="s">
        <v>8</v>
      </c>
      <c r="G219" s="35">
        <f>VLOOKUP(F219, $A$201:$E$233, 2)</f>
        <v>-10.243445795131418</v>
      </c>
      <c r="H219" s="36">
        <f>VLOOKUP(F219,$A$201:$E$233,  3)</f>
        <v>30.270763900467635</v>
      </c>
    </row>
    <row r="220" spans="1:8" ht="16.5" thickTop="1" thickBot="1" x14ac:dyDescent="0.3">
      <c r="A220" s="48" t="s">
        <v>15</v>
      </c>
      <c r="B220" s="55">
        <f t="shared" si="8"/>
        <v>38.055209390353177</v>
      </c>
      <c r="C220" s="55">
        <f t="shared" si="9"/>
        <v>-7.0024969573848299</v>
      </c>
      <c r="D220" s="55">
        <f t="shared" si="10"/>
        <v>449.56450422019105</v>
      </c>
      <c r="E220" s="55">
        <f t="shared" si="11"/>
        <v>9.9136529198185652</v>
      </c>
      <c r="F220" s="37" t="s">
        <v>10</v>
      </c>
      <c r="G220" s="35">
        <f>VLOOKUP(F220, $A$201:$E$233, 2)</f>
        <v>0.75780401433551114</v>
      </c>
      <c r="H220" s="36">
        <f>VLOOKUP(F220,$A$201:$E$233,  3)</f>
        <v>37.095729581049639</v>
      </c>
    </row>
    <row r="221" spans="1:8" ht="16.5" thickTop="1" thickBot="1" x14ac:dyDescent="0.3">
      <c r="A221" s="48" t="s">
        <v>21</v>
      </c>
      <c r="B221" s="55">
        <f t="shared" si="8"/>
        <v>26.591219520090931</v>
      </c>
      <c r="C221" s="55">
        <f t="shared" si="9"/>
        <v>-81.888496420533471</v>
      </c>
      <c r="D221" s="55">
        <f t="shared" si="10"/>
        <v>464.75800918269306</v>
      </c>
      <c r="E221" s="55">
        <f t="shared" si="11"/>
        <v>14.187620744582217</v>
      </c>
      <c r="F221" s="37" t="s">
        <v>6</v>
      </c>
      <c r="G221" s="35">
        <f>VLOOKUP(F221, $A$201:$E$233, 2)</f>
        <v>-14.22385223387735</v>
      </c>
      <c r="H221" s="36">
        <f>VLOOKUP(F221,$A$201:$E$233,  3)</f>
        <v>54.809145956641608</v>
      </c>
    </row>
    <row r="222" spans="1:8" ht="16.5" thickTop="1" thickBot="1" x14ac:dyDescent="0.3">
      <c r="A222" s="48" t="s">
        <v>22</v>
      </c>
      <c r="B222" s="55">
        <f t="shared" si="8"/>
        <v>-1.411858268099639</v>
      </c>
      <c r="C222" s="55">
        <f t="shared" si="9"/>
        <v>-101.79671110275535</v>
      </c>
      <c r="D222" s="55">
        <f t="shared" si="10"/>
        <v>464.09612897188697</v>
      </c>
      <c r="E222" s="55">
        <f t="shared" si="11"/>
        <v>13.926074979728394</v>
      </c>
      <c r="F222" s="37"/>
      <c r="G222" s="35"/>
      <c r="H222" s="36"/>
    </row>
    <row r="223" spans="1:8" ht="16.5" thickTop="1" thickBot="1" x14ac:dyDescent="0.3">
      <c r="A223" s="48" t="s">
        <v>23</v>
      </c>
      <c r="B223" s="55">
        <f t="shared" si="8"/>
        <v>-1.5727529844667592</v>
      </c>
      <c r="C223" s="55">
        <f t="shared" si="9"/>
        <v>-84.270521043165644</v>
      </c>
      <c r="D223" s="55">
        <f t="shared" si="10"/>
        <v>460.00454040660884</v>
      </c>
      <c r="E223" s="55">
        <f t="shared" si="11"/>
        <v>12.50141903814051</v>
      </c>
      <c r="F223" s="37" t="s">
        <v>13</v>
      </c>
      <c r="G223" s="35">
        <f>VLOOKUP(F223, $A$201:$E$233, 2)</f>
        <v>10.514345914161728</v>
      </c>
      <c r="H223" s="36">
        <f>VLOOKUP(F223,$A$201:$E$233,  3)</f>
        <v>5.2035038285088717</v>
      </c>
    </row>
    <row r="224" spans="1:8" ht="16.5" thickTop="1" thickBot="1" x14ac:dyDescent="0.3">
      <c r="A224" s="48" t="s">
        <v>17</v>
      </c>
      <c r="B224" s="55">
        <f t="shared" si="8"/>
        <v>20.795496714748623</v>
      </c>
      <c r="C224" s="55">
        <f t="shared" si="9"/>
        <v>-68.628007364777318</v>
      </c>
      <c r="D224" s="55">
        <f t="shared" si="10"/>
        <v>460.59342345215032</v>
      </c>
      <c r="E224" s="55">
        <f t="shared" si="11"/>
        <v>12.688237441607525</v>
      </c>
      <c r="F224" s="37" t="s">
        <v>14</v>
      </c>
      <c r="G224" s="35">
        <f>VLOOKUP(F224, $A$201:$E$233, 2)</f>
        <v>26.817785993591407</v>
      </c>
      <c r="H224" s="36">
        <f>VLOOKUP(F224,$A$201:$E$233,  3)</f>
        <v>-14.484648854692724</v>
      </c>
    </row>
    <row r="225" spans="1:8" ht="16.5" thickTop="1" thickBot="1" x14ac:dyDescent="0.3">
      <c r="A225" s="48" t="s">
        <v>16</v>
      </c>
      <c r="B225" s="55">
        <f t="shared" si="8"/>
        <v>-19.761837267490389</v>
      </c>
      <c r="C225" s="55">
        <f t="shared" si="9"/>
        <v>-16.597941008940527</v>
      </c>
      <c r="D225" s="55">
        <f t="shared" si="10"/>
        <v>462.55216388001901</v>
      </c>
      <c r="E225" s="55">
        <f t="shared" si="11"/>
        <v>13.35190632639026</v>
      </c>
      <c r="F225" s="37" t="s">
        <v>15</v>
      </c>
      <c r="G225" s="35">
        <f>VLOOKUP(F225, $A$201:$E$233, 2)</f>
        <v>38.055209390353177</v>
      </c>
      <c r="H225" s="36">
        <f>VLOOKUP(F225,$A$201:$E$233,  3)</f>
        <v>-7.0024969573848299</v>
      </c>
    </row>
    <row r="226" spans="1:8" ht="16.5" thickTop="1" thickBot="1" x14ac:dyDescent="0.3">
      <c r="A226" s="48" t="s">
        <v>24</v>
      </c>
      <c r="B226" s="55">
        <f t="shared" si="8"/>
        <v>-54.96744978942246</v>
      </c>
      <c r="C226" s="55">
        <f t="shared" si="9"/>
        <v>-39.376887002222006</v>
      </c>
      <c r="D226" s="55">
        <f t="shared" si="10"/>
        <v>461.69462043357913</v>
      </c>
      <c r="E226" s="55">
        <f t="shared" si="11"/>
        <v>13.052996880843034</v>
      </c>
      <c r="F226" s="37" t="s">
        <v>4</v>
      </c>
      <c r="G226" s="35">
        <f>VLOOKUP(F226, $A$201:$E$233, 2)</f>
        <v>21.650998990672605</v>
      </c>
      <c r="H226" s="36">
        <f>VLOOKUP(F226,$A$201:$E$233,  3)</f>
        <v>12.392862561494802</v>
      </c>
    </row>
    <row r="227" spans="1:8" ht="16.5" thickTop="1" thickBot="1" x14ac:dyDescent="0.3">
      <c r="A227" s="48" t="s">
        <v>25</v>
      </c>
      <c r="B227" s="55">
        <f t="shared" si="8"/>
        <v>-49.558444276104346</v>
      </c>
      <c r="C227" s="55">
        <f t="shared" si="9"/>
        <v>-60.653058155979409</v>
      </c>
      <c r="D227" s="55">
        <f t="shared" si="10"/>
        <v>465.46401504908818</v>
      </c>
      <c r="E227" s="55">
        <f t="shared" si="11"/>
        <v>14.477652822430919</v>
      </c>
      <c r="F227" s="37" t="s">
        <v>13</v>
      </c>
      <c r="G227" s="35">
        <f>VLOOKUP(F227, $A$201:$E$233, 2)</f>
        <v>10.514345914161728</v>
      </c>
      <c r="H227" s="36">
        <f>VLOOKUP(F227,$A$201:$E$233,  3)</f>
        <v>5.2035038285088717</v>
      </c>
    </row>
    <row r="228" spans="1:8" ht="16.5" thickTop="1" thickBot="1" x14ac:dyDescent="0.3">
      <c r="A228" s="48" t="s">
        <v>26</v>
      </c>
      <c r="B228" s="55">
        <f t="shared" si="8"/>
        <v>-35.631634478103024</v>
      </c>
      <c r="C228" s="55">
        <f t="shared" si="9"/>
        <v>-80.056347191861718</v>
      </c>
      <c r="D228" s="55">
        <f t="shared" si="10"/>
        <v>464.81892189320263</v>
      </c>
      <c r="E228" s="55">
        <f t="shared" si="11"/>
        <v>14.212185268517826</v>
      </c>
      <c r="F228" s="37"/>
      <c r="G228" s="35"/>
      <c r="H228" s="36"/>
    </row>
    <row r="229" spans="1:8" ht="16.5" thickTop="1" thickBot="1" x14ac:dyDescent="0.3">
      <c r="A229" s="48" t="s">
        <v>27</v>
      </c>
      <c r="B229" s="55">
        <f t="shared" si="8"/>
        <v>-39.601347349909545</v>
      </c>
      <c r="C229" s="55">
        <f t="shared" si="9"/>
        <v>-60.500201645566449</v>
      </c>
      <c r="D229" s="55">
        <f t="shared" si="10"/>
        <v>460.89940541156585</v>
      </c>
      <c r="E229" s="55">
        <f t="shared" si="11"/>
        <v>12.787529326929942</v>
      </c>
      <c r="F229" s="37" t="s">
        <v>12</v>
      </c>
      <c r="G229" s="35">
        <f>VLOOKUP(F229, $A$201:$E$233, 2)</f>
        <v>14.68180192051107</v>
      </c>
      <c r="H229" s="36">
        <f>VLOOKUP(F229,$A$201:$E$233,  3)</f>
        <v>108.57128850371016</v>
      </c>
    </row>
    <row r="230" spans="1:8" ht="16.5" thickTop="1" thickBot="1" x14ac:dyDescent="0.3">
      <c r="A230" s="48" t="s">
        <v>28</v>
      </c>
      <c r="B230" s="55">
        <f t="shared" si="8"/>
        <v>-26.069874501864117</v>
      </c>
      <c r="C230" s="55">
        <f t="shared" si="9"/>
        <v>-51.475043273555535</v>
      </c>
      <c r="D230" s="55">
        <f t="shared" si="10"/>
        <v>461.23916939438055</v>
      </c>
      <c r="E230" s="55">
        <f t="shared" si="11"/>
        <v>12.899620369010151</v>
      </c>
      <c r="F230" s="37" t="s">
        <v>29</v>
      </c>
      <c r="G230" s="35">
        <f>VLOOKUP(F230, $A$201:$E$233, 2)</f>
        <v>30.144279619483068</v>
      </c>
      <c r="H230" s="36">
        <f>VLOOKUP(F230,$A$201:$E$233,  3)</f>
        <v>117.51743472016734</v>
      </c>
    </row>
    <row r="231" spans="1:8" ht="16.5" thickTop="1" thickBot="1" x14ac:dyDescent="0.3">
      <c r="A231" s="48" t="s">
        <v>0</v>
      </c>
      <c r="B231" s="55">
        <f t="shared" si="8"/>
        <v>-23.477031359202027</v>
      </c>
      <c r="C231" s="55">
        <f t="shared" si="9"/>
        <v>-71.775776297349367</v>
      </c>
      <c r="D231" s="55">
        <f t="shared" si="10"/>
        <v>465.09422262190884</v>
      </c>
      <c r="E231" s="55">
        <f t="shared" si="11"/>
        <v>14.324276310598034</v>
      </c>
      <c r="F231" s="37" t="s">
        <v>9</v>
      </c>
      <c r="G231" s="35">
        <f>VLOOKUP(F231, $A$201:$E$233, 2)</f>
        <v>1.0445945585894998</v>
      </c>
      <c r="H231" s="36">
        <f>VLOOKUP(F231,$A$201:$E$233,  3)</f>
        <v>147.86242174354672</v>
      </c>
    </row>
    <row r="232" spans="1:8" ht="16.5" thickTop="1" thickBot="1" x14ac:dyDescent="0.3">
      <c r="A232" s="48" t="s">
        <v>1</v>
      </c>
      <c r="B232" s="55">
        <f t="shared" si="8"/>
        <v>-16.099287466814474</v>
      </c>
      <c r="C232" s="55">
        <f t="shared" si="9"/>
        <v>-25.485028485830515</v>
      </c>
      <c r="D232" s="55">
        <f t="shared" si="10"/>
        <v>462.21759775803986</v>
      </c>
      <c r="E232" s="55">
        <f t="shared" si="11"/>
        <v>13.233674153326149</v>
      </c>
      <c r="F232" s="37" t="s">
        <v>5</v>
      </c>
      <c r="G232" s="35">
        <f>VLOOKUP(F232, $A$201:$E$233, 2)</f>
        <v>-14.158935414436673</v>
      </c>
      <c r="H232" s="36">
        <f>VLOOKUP(F232,$A$201:$E$233,  3)</f>
        <v>139.53908195041637</v>
      </c>
    </row>
    <row r="233" spans="1:8" ht="16.5" thickTop="1" thickBot="1" x14ac:dyDescent="0.3">
      <c r="A233" s="48" t="s">
        <v>2</v>
      </c>
      <c r="B233" s="55">
        <f t="shared" si="8"/>
        <v>-31.40652644961521</v>
      </c>
      <c r="C233" s="55">
        <f t="shared" si="9"/>
        <v>-35.501558290521139</v>
      </c>
      <c r="D233" s="55">
        <f t="shared" si="10"/>
        <v>461.84051229093279</v>
      </c>
      <c r="E233" s="55">
        <f t="shared" si="11"/>
        <v>13.102901270899238</v>
      </c>
      <c r="F233" s="37" t="s">
        <v>12</v>
      </c>
      <c r="G233" s="35">
        <f>VLOOKUP(F233, $A$201:$E$233, 2)</f>
        <v>14.68180192051107</v>
      </c>
      <c r="H233" s="36">
        <f>VLOOKUP(F233,$A$201:$E$233,  3)</f>
        <v>108.57128850371016</v>
      </c>
    </row>
    <row r="234" spans="1:8" ht="14.25" thickTop="1" thickBot="1" x14ac:dyDescent="0.25">
      <c r="F234" s="37"/>
      <c r="G234" s="35"/>
      <c r="H234" s="36"/>
    </row>
    <row r="235" spans="1:8" ht="14.25" thickTop="1" thickBot="1" x14ac:dyDescent="0.25">
      <c r="F235" s="37" t="s">
        <v>6</v>
      </c>
      <c r="G235" s="35">
        <f t="shared" ref="G235:G243" si="16">VLOOKUP(F235, $A$201:$E$233, 2)</f>
        <v>-14.22385223387735</v>
      </c>
      <c r="H235" s="36">
        <f t="shared" ref="H235:H243" si="17">VLOOKUP(F235,$A$201:$E$233,  3)</f>
        <v>54.809145956641608</v>
      </c>
    </row>
    <row r="236" spans="1:8" ht="14.25" thickTop="1" thickBot="1" x14ac:dyDescent="0.25">
      <c r="F236" s="37" t="s">
        <v>3</v>
      </c>
      <c r="G236" s="35">
        <f t="shared" si="16"/>
        <v>-10.130451033783464</v>
      </c>
      <c r="H236" s="36">
        <f t="shared" si="17"/>
        <v>-34.518795628266879</v>
      </c>
    </row>
    <row r="237" spans="1:8" ht="14.25" thickTop="1" thickBot="1" x14ac:dyDescent="0.25">
      <c r="F237" s="37" t="s">
        <v>21</v>
      </c>
      <c r="G237" s="35">
        <f t="shared" si="16"/>
        <v>26.591219520090931</v>
      </c>
      <c r="H237" s="36">
        <f t="shared" si="17"/>
        <v>-81.888496420533471</v>
      </c>
    </row>
    <row r="238" spans="1:8" ht="14.25" thickTop="1" thickBot="1" x14ac:dyDescent="0.25">
      <c r="F238" s="37" t="s">
        <v>15</v>
      </c>
      <c r="G238" s="35">
        <f t="shared" si="16"/>
        <v>38.055209390353177</v>
      </c>
      <c r="H238" s="36">
        <f t="shared" si="17"/>
        <v>-7.0024969573848299</v>
      </c>
    </row>
    <row r="239" spans="1:8" ht="14.25" thickTop="1" thickBot="1" x14ac:dyDescent="0.25">
      <c r="F239" s="37" t="s">
        <v>4</v>
      </c>
      <c r="G239" s="35">
        <f t="shared" si="16"/>
        <v>21.650998990672605</v>
      </c>
      <c r="H239" s="36">
        <f t="shared" si="17"/>
        <v>12.392862561494802</v>
      </c>
    </row>
    <row r="240" spans="1:8" ht="14.25" thickTop="1" thickBot="1" x14ac:dyDescent="0.25">
      <c r="F240" s="37" t="s">
        <v>29</v>
      </c>
      <c r="G240" s="35">
        <f t="shared" si="16"/>
        <v>30.144279619483068</v>
      </c>
      <c r="H240" s="36">
        <f t="shared" si="17"/>
        <v>117.51743472016734</v>
      </c>
    </row>
    <row r="241" spans="6:8" ht="14.25" thickTop="1" thickBot="1" x14ac:dyDescent="0.25">
      <c r="F241" s="37" t="s">
        <v>9</v>
      </c>
      <c r="G241" s="35">
        <f t="shared" si="16"/>
        <v>1.0445945585894998</v>
      </c>
      <c r="H241" s="36">
        <f t="shared" si="17"/>
        <v>147.86242174354672</v>
      </c>
    </row>
    <row r="242" spans="6:8" ht="14.25" thickTop="1" thickBot="1" x14ac:dyDescent="0.25">
      <c r="F242" s="37" t="s">
        <v>10</v>
      </c>
      <c r="G242" s="35">
        <f t="shared" si="16"/>
        <v>0.75780401433551114</v>
      </c>
      <c r="H242" s="36">
        <f t="shared" si="17"/>
        <v>37.095729581049639</v>
      </c>
    </row>
    <row r="243" spans="6:8" ht="14.25" thickTop="1" thickBot="1" x14ac:dyDescent="0.25">
      <c r="F243" s="37" t="s">
        <v>6</v>
      </c>
      <c r="G243" s="35">
        <f t="shared" si="16"/>
        <v>-14.22385223387735</v>
      </c>
      <c r="H243" s="36">
        <f t="shared" si="17"/>
        <v>54.809145956641608</v>
      </c>
    </row>
    <row r="244" spans="6:8" ht="14.25" thickTop="1" thickBot="1" x14ac:dyDescent="0.25">
      <c r="F244" s="37"/>
      <c r="G244" s="35"/>
      <c r="H244" s="36"/>
    </row>
    <row r="245" spans="6:8" ht="14.25" thickTop="1" thickBot="1" x14ac:dyDescent="0.25">
      <c r="F245" s="37" t="s">
        <v>7</v>
      </c>
      <c r="G245" s="35">
        <f t="shared" ref="G245:G253" si="18">VLOOKUP(F245, $A$201:$E$233, 2)</f>
        <v>-25.12314471053131</v>
      </c>
      <c r="H245" s="36">
        <f t="shared" ref="H245:H253" si="19">VLOOKUP(F245,$A$201:$E$233,  3)</f>
        <v>48.239596410612968</v>
      </c>
    </row>
    <row r="246" spans="6:8" ht="14.25" thickTop="1" thickBot="1" x14ac:dyDescent="0.25">
      <c r="F246" s="37" t="s">
        <v>16</v>
      </c>
      <c r="G246" s="35">
        <f t="shared" si="18"/>
        <v>-19.761837267490389</v>
      </c>
      <c r="H246" s="36">
        <f t="shared" si="19"/>
        <v>-16.597941008940527</v>
      </c>
    </row>
    <row r="247" spans="6:8" ht="14.25" thickTop="1" thickBot="1" x14ac:dyDescent="0.25">
      <c r="F247" s="37" t="s">
        <v>17</v>
      </c>
      <c r="G247" s="35">
        <f t="shared" si="18"/>
        <v>20.795496714748623</v>
      </c>
      <c r="H247" s="36">
        <f t="shared" si="19"/>
        <v>-68.628007364777318</v>
      </c>
    </row>
    <row r="248" spans="6:8" ht="14.25" thickTop="1" thickBot="1" x14ac:dyDescent="0.25">
      <c r="F248" s="37" t="s">
        <v>14</v>
      </c>
      <c r="G248" s="35">
        <f t="shared" si="18"/>
        <v>26.817785993591407</v>
      </c>
      <c r="H248" s="36">
        <f t="shared" si="19"/>
        <v>-14.484648854692724</v>
      </c>
    </row>
    <row r="249" spans="6:8" ht="14.25" thickTop="1" thickBot="1" x14ac:dyDescent="0.25">
      <c r="F249" s="37" t="s">
        <v>13</v>
      </c>
      <c r="G249" s="35">
        <f t="shared" si="18"/>
        <v>10.514345914161728</v>
      </c>
      <c r="H249" s="36">
        <f t="shared" si="19"/>
        <v>5.2035038285088717</v>
      </c>
    </row>
    <row r="250" spans="6:8" ht="14.25" thickTop="1" thickBot="1" x14ac:dyDescent="0.25">
      <c r="F250" s="37" t="s">
        <v>12</v>
      </c>
      <c r="G250" s="35">
        <f t="shared" si="18"/>
        <v>14.68180192051107</v>
      </c>
      <c r="H250" s="36">
        <f t="shared" si="19"/>
        <v>108.57128850371016</v>
      </c>
    </row>
    <row r="251" spans="6:8" ht="14.25" thickTop="1" thickBot="1" x14ac:dyDescent="0.25">
      <c r="F251" s="37" t="s">
        <v>5</v>
      </c>
      <c r="G251" s="35">
        <f t="shared" si="18"/>
        <v>-14.158935414436673</v>
      </c>
      <c r="H251" s="36">
        <f t="shared" si="19"/>
        <v>139.53908195041637</v>
      </c>
    </row>
    <row r="252" spans="6:8" ht="14.25" thickTop="1" thickBot="1" x14ac:dyDescent="0.25">
      <c r="F252" s="37" t="s">
        <v>8</v>
      </c>
      <c r="G252" s="35">
        <f t="shared" si="18"/>
        <v>-10.243445795131418</v>
      </c>
      <c r="H252" s="36">
        <f t="shared" si="19"/>
        <v>30.270763900467635</v>
      </c>
    </row>
    <row r="253" spans="6:8" ht="14.25" thickTop="1" thickBot="1" x14ac:dyDescent="0.25">
      <c r="F253" s="37" t="s">
        <v>7</v>
      </c>
      <c r="G253" s="35">
        <f t="shared" si="18"/>
        <v>-25.12314471053131</v>
      </c>
      <c r="H253" s="36">
        <f t="shared" si="19"/>
        <v>48.239596410612968</v>
      </c>
    </row>
    <row r="254" spans="6:8" ht="14.25" thickTop="1" thickBot="1" x14ac:dyDescent="0.25">
      <c r="F254" s="37"/>
      <c r="G254" s="35"/>
      <c r="H254" s="36"/>
    </row>
    <row r="255" spans="6:8" ht="14.25" thickTop="1" thickBot="1" x14ac:dyDescent="0.25">
      <c r="F255" s="37" t="s">
        <v>28</v>
      </c>
      <c r="G255" s="35">
        <f>VLOOKUP(F255, $A$201:$E$233, 2)</f>
        <v>-26.069874501864117</v>
      </c>
      <c r="H255" s="36">
        <f>VLOOKUP(F255,$A$201:$E$233,  3)</f>
        <v>-51.475043273555535</v>
      </c>
    </row>
    <row r="256" spans="6:8" ht="14.25" thickTop="1" thickBot="1" x14ac:dyDescent="0.25">
      <c r="F256" s="37" t="s">
        <v>0</v>
      </c>
      <c r="G256" s="35">
        <f>VLOOKUP(F256, $A$201:$E$233, 2)</f>
        <v>-23.477031359202027</v>
      </c>
      <c r="H256" s="36">
        <f>VLOOKUP(F256,$A$201:$E$233,  3)</f>
        <v>-71.775776297349367</v>
      </c>
    </row>
    <row r="257" spans="6:8" ht="14.25" thickTop="1" thickBot="1" x14ac:dyDescent="0.25">
      <c r="F257" s="37" t="s">
        <v>22</v>
      </c>
      <c r="G257" s="35">
        <f>VLOOKUP(F257, $A$201:$E$233, 2)</f>
        <v>-1.411858268099639</v>
      </c>
      <c r="H257" s="36">
        <f>VLOOKUP(F257,$A$201:$E$233,  3)</f>
        <v>-101.79671110275535</v>
      </c>
    </row>
    <row r="258" spans="6:8" ht="14.25" thickTop="1" thickBot="1" x14ac:dyDescent="0.25">
      <c r="F258" s="37" t="s">
        <v>23</v>
      </c>
      <c r="G258" s="35">
        <f>VLOOKUP(F258, $A$201:$E$233, 2)</f>
        <v>-1.5727529844667592</v>
      </c>
      <c r="H258" s="36">
        <f>VLOOKUP(F258,$A$201:$E$233,  3)</f>
        <v>-84.270521043165644</v>
      </c>
    </row>
    <row r="259" spans="6:8" ht="14.25" thickTop="1" thickBot="1" x14ac:dyDescent="0.25">
      <c r="F259" s="37" t="s">
        <v>28</v>
      </c>
      <c r="G259" s="35">
        <f>VLOOKUP(F259, $A$201:$E$233, 2)</f>
        <v>-26.069874501864117</v>
      </c>
      <c r="H259" s="36">
        <f>VLOOKUP(F259,$A$201:$E$233,  3)</f>
        <v>-51.475043273555535</v>
      </c>
    </row>
    <row r="260" spans="6:8" ht="14.25" thickTop="1" thickBot="1" x14ac:dyDescent="0.25">
      <c r="F260" s="37"/>
      <c r="G260" s="35"/>
      <c r="H260" s="36"/>
    </row>
    <row r="261" spans="6:8" ht="14.25" thickTop="1" thickBot="1" x14ac:dyDescent="0.25">
      <c r="F261" s="37" t="s">
        <v>24</v>
      </c>
      <c r="G261" s="35">
        <f>VLOOKUP(F261, $A$201:$E$233, 2)</f>
        <v>-54.96744978942246</v>
      </c>
      <c r="H261" s="36">
        <f>VLOOKUP(F261,$A$201:$E$233,  3)</f>
        <v>-39.376887002222006</v>
      </c>
    </row>
    <row r="262" spans="6:8" ht="14.25" thickTop="1" thickBot="1" x14ac:dyDescent="0.25">
      <c r="F262" s="37" t="s">
        <v>25</v>
      </c>
      <c r="G262" s="35">
        <f>VLOOKUP(F262, $A$201:$E$233, 2)</f>
        <v>-49.558444276104346</v>
      </c>
      <c r="H262" s="36">
        <f>VLOOKUP(F262,$A$201:$E$233,  3)</f>
        <v>-60.653058155979409</v>
      </c>
    </row>
    <row r="263" spans="6:8" ht="14.25" thickTop="1" thickBot="1" x14ac:dyDescent="0.25">
      <c r="F263" s="37" t="s">
        <v>26</v>
      </c>
      <c r="G263" s="35">
        <f>VLOOKUP(F263, $A$201:$E$233, 2)</f>
        <v>-35.631634478103024</v>
      </c>
      <c r="H263" s="36">
        <f>VLOOKUP(F263,$A$201:$E$233,  3)</f>
        <v>-80.056347191861718</v>
      </c>
    </row>
    <row r="264" spans="6:8" ht="14.25" thickTop="1" thickBot="1" x14ac:dyDescent="0.25">
      <c r="F264" s="37" t="s">
        <v>27</v>
      </c>
      <c r="G264" s="35">
        <f>VLOOKUP(F264, $A$201:$E$233, 2)</f>
        <v>-39.601347349909545</v>
      </c>
      <c r="H264" s="36">
        <f>VLOOKUP(F264,$A$201:$E$233,  3)</f>
        <v>-60.500201645566449</v>
      </c>
    </row>
    <row r="265" spans="6:8" ht="14.25" thickTop="1" thickBot="1" x14ac:dyDescent="0.25">
      <c r="F265" s="37" t="s">
        <v>24</v>
      </c>
      <c r="G265" s="35">
        <f>VLOOKUP(F265, $A$201:$E$233, 2)</f>
        <v>-54.96744978942246</v>
      </c>
      <c r="H265" s="36">
        <f>VLOOKUP(F265,$A$201:$E$233,  3)</f>
        <v>-39.376887002222006</v>
      </c>
    </row>
    <row r="266" spans="6:8" ht="14.25" thickTop="1" thickBot="1" x14ac:dyDescent="0.25">
      <c r="F266" s="37"/>
      <c r="G266" s="35"/>
      <c r="H266" s="36"/>
    </row>
    <row r="267" spans="6:8" ht="14.25" thickTop="1" thickBot="1" x14ac:dyDescent="0.25">
      <c r="F267" s="37" t="s">
        <v>1</v>
      </c>
      <c r="G267" s="35">
        <f>VLOOKUP(F267, $A$201:$E$233, 2)</f>
        <v>-16.099287466814474</v>
      </c>
      <c r="H267" s="36">
        <f>VLOOKUP(F267,$A$201:$E$233,  3)</f>
        <v>-25.485028485830515</v>
      </c>
    </row>
    <row r="268" spans="6:8" ht="14.25" thickTop="1" thickBot="1" x14ac:dyDescent="0.25">
      <c r="F268" s="37" t="s">
        <v>2</v>
      </c>
      <c r="G268" s="35">
        <f>VLOOKUP(F268, $A$201:$E$233, 2)</f>
        <v>-31.40652644961521</v>
      </c>
      <c r="H268" s="36">
        <f>VLOOKUP(F268,$A$201:$E$233,  3)</f>
        <v>-35.501558290521139</v>
      </c>
    </row>
    <row r="269" spans="6:8" ht="14.25" thickTop="1" thickBot="1" x14ac:dyDescent="0.25">
      <c r="F269" s="37" t="s">
        <v>32</v>
      </c>
      <c r="G269" s="35">
        <f>VLOOKUP(F269, $A$201:$E$233, 2)</f>
        <v>-17.622766062180894</v>
      </c>
      <c r="H269" s="36">
        <f>VLOOKUP(F269,$A$201:$E$233,  3)</f>
        <v>-53.795199502079228</v>
      </c>
    </row>
    <row r="270" spans="6:8" ht="14.25" thickTop="1" thickBot="1" x14ac:dyDescent="0.25">
      <c r="F270" s="37"/>
      <c r="G270" s="35"/>
      <c r="H270" s="36"/>
    </row>
    <row r="271" spans="6:8" ht="14.25" thickTop="1" thickBot="1" x14ac:dyDescent="0.25">
      <c r="F271" s="42" t="s">
        <v>30</v>
      </c>
      <c r="G271" s="35">
        <f>VLOOKUP(F271, $A$201:$E$233, 2)</f>
        <v>-14.553159042199079</v>
      </c>
      <c r="H271" s="36">
        <f>VLOOKUP(F271,$A$201:$E$233,  3)</f>
        <v>-35.976854679846731</v>
      </c>
    </row>
    <row r="272" spans="6:8" ht="14.25" thickTop="1" thickBot="1" x14ac:dyDescent="0.25">
      <c r="F272" s="42" t="s">
        <v>31</v>
      </c>
      <c r="G272" s="35">
        <f>VLOOKUP(F272, $A$201:$E$233, 2)</f>
        <v>-41.23673159462048</v>
      </c>
      <c r="H272" s="36">
        <f>VLOOKUP(F272,$A$201:$E$233,  3)</f>
        <v>-53.638005190661957</v>
      </c>
    </row>
    <row r="273" spans="1:8" ht="14.25" thickTop="1" thickBot="1" x14ac:dyDescent="0.25">
      <c r="F273" s="42"/>
      <c r="G273" s="35"/>
      <c r="H273" s="36"/>
    </row>
    <row r="274" spans="1:8" ht="14.25" thickTop="1" thickBot="1" x14ac:dyDescent="0.25">
      <c r="F274" s="42" t="s">
        <v>34</v>
      </c>
      <c r="G274" s="35">
        <f>VLOOKUP(F274, $A$201:$E$233, 2)</f>
        <v>-9.7324828626013478</v>
      </c>
      <c r="H274" s="36">
        <f>VLOOKUP(F274,$A$201:$E$233,  3)</f>
        <v>101.51175212560436</v>
      </c>
    </row>
    <row r="275" spans="1:8" ht="14.25" thickTop="1" thickBot="1" x14ac:dyDescent="0.25">
      <c r="F275" s="42" t="s">
        <v>37</v>
      </c>
      <c r="G275" s="35">
        <f>VLOOKUP(F275, $A$201:$E$233, 2)</f>
        <v>0</v>
      </c>
      <c r="H275" s="36">
        <f>VLOOKUP(F275,$A$201:$E$233,  3)</f>
        <v>-7.3123351214909532E-14</v>
      </c>
    </row>
    <row r="276" spans="1:8" ht="14.25" thickTop="1" thickBot="1" x14ac:dyDescent="0.25">
      <c r="F276" s="43" t="s">
        <v>38</v>
      </c>
      <c r="G276" s="35">
        <f>VLOOKUP(F276, $A$201:$E$233, 2)</f>
        <v>7.8597767913175174</v>
      </c>
      <c r="H276" s="36">
        <f>VLOOKUP(F276,$A$201:$E$233,  3)</f>
        <v>8.4091807865032386</v>
      </c>
    </row>
    <row r="277" spans="1:8" ht="13.5" thickTop="1" x14ac:dyDescent="0.2"/>
    <row r="280" spans="1:8" ht="15" x14ac:dyDescent="0.25">
      <c r="A280" s="52" t="s">
        <v>74</v>
      </c>
    </row>
    <row r="283" spans="1:8" ht="15" x14ac:dyDescent="0.25">
      <c r="A283" s="55"/>
      <c r="B283" s="55" t="s">
        <v>26</v>
      </c>
      <c r="C283" s="55" t="s">
        <v>27</v>
      </c>
      <c r="D283" s="55" t="s">
        <v>21</v>
      </c>
      <c r="E283" s="55" t="s">
        <v>75</v>
      </c>
    </row>
    <row r="284" spans="1:8" ht="15" x14ac:dyDescent="0.25">
      <c r="A284" s="55" t="s">
        <v>17</v>
      </c>
      <c r="B284" s="55">
        <f>G141</f>
        <v>263.85820003289973</v>
      </c>
      <c r="C284" s="55">
        <f t="shared" ref="C284:D284" si="20">H141</f>
        <v>-870.76845258868457</v>
      </c>
      <c r="D284" s="55">
        <f t="shared" si="20"/>
        <v>5844.1187208037627</v>
      </c>
      <c r="E284" s="55"/>
    </row>
    <row r="285" spans="1:8" ht="15" x14ac:dyDescent="0.25">
      <c r="A285" s="55" t="s">
        <v>14</v>
      </c>
      <c r="B285" s="55">
        <f>G136</f>
        <v>263.85820003289973</v>
      </c>
      <c r="C285" s="55">
        <f t="shared" ref="C285:D285" si="21">H136</f>
        <v>-142.51338182134555</v>
      </c>
      <c r="D285" s="55">
        <f t="shared" si="21"/>
        <v>4419.4627792158799</v>
      </c>
      <c r="E285" s="55"/>
    </row>
    <row r="286" spans="1:8" ht="15" x14ac:dyDescent="0.25">
      <c r="A286" s="55" t="s">
        <v>13</v>
      </c>
      <c r="B286" s="55">
        <f>G135</f>
        <v>105.54328001315986</v>
      </c>
      <c r="C286" s="55">
        <f t="shared" ref="C286:D286" si="22">H135</f>
        <v>52.232907886562202</v>
      </c>
      <c r="D286" s="55">
        <f t="shared" si="22"/>
        <v>4519.01311193329</v>
      </c>
      <c r="E286" s="55"/>
    </row>
    <row r="287" spans="1:8" ht="15" x14ac:dyDescent="0.25">
      <c r="A287" s="55" t="s">
        <v>12</v>
      </c>
      <c r="B287" s="55">
        <f>G134</f>
        <v>105.54328001315986</v>
      </c>
      <c r="C287" s="55">
        <f t="shared" ref="C287:D287" si="23">H134</f>
        <v>780.48797865390088</v>
      </c>
      <c r="D287" s="55">
        <f t="shared" si="23"/>
        <v>3094.3571703454068</v>
      </c>
      <c r="E287" s="55"/>
    </row>
    <row r="288" spans="1:8" ht="15" x14ac:dyDescent="0.25">
      <c r="A288" s="55" t="s">
        <v>5</v>
      </c>
      <c r="B288" s="55">
        <f>G129</f>
        <v>-105.54328001315992</v>
      </c>
      <c r="C288" s="55">
        <f t="shared" ref="C288:D288" si="24">H129</f>
        <v>1040.1496982644446</v>
      </c>
      <c r="D288" s="55">
        <f t="shared" si="24"/>
        <v>3227.0909473019533</v>
      </c>
      <c r="E288" s="55"/>
    </row>
    <row r="289" spans="1:5" ht="15" x14ac:dyDescent="0.25">
      <c r="A289" s="55" t="s">
        <v>8</v>
      </c>
      <c r="B289" s="55">
        <f>G128</f>
        <v>-105.54328001315992</v>
      </c>
      <c r="C289" s="55">
        <f t="shared" ref="C289:D289" si="25">H128</f>
        <v>311.89462749710583</v>
      </c>
      <c r="D289" s="55">
        <f t="shared" si="25"/>
        <v>4651.7468888898366</v>
      </c>
      <c r="E289" s="55"/>
    </row>
    <row r="290" spans="1:5" ht="15" x14ac:dyDescent="0.25">
      <c r="A290" s="55" t="s">
        <v>7</v>
      </c>
      <c r="B290" s="55">
        <f>G127</f>
        <v>-263.85820003289973</v>
      </c>
      <c r="C290" s="55">
        <f t="shared" ref="C290:D290" si="26">H127</f>
        <v>506.64091720501358</v>
      </c>
      <c r="D290" s="55">
        <f t="shared" si="26"/>
        <v>4751.2972216072467</v>
      </c>
      <c r="E290" s="55"/>
    </row>
    <row r="291" spans="1:5" ht="15" x14ac:dyDescent="0.25">
      <c r="A291" s="55" t="s">
        <v>16</v>
      </c>
      <c r="B291" s="55">
        <f>G142</f>
        <v>-263.85820003289973</v>
      </c>
      <c r="C291" s="55">
        <f t="shared" ref="C291:D291" si="27">H142</f>
        <v>-221.61415356232538</v>
      </c>
      <c r="D291" s="55">
        <f t="shared" si="27"/>
        <v>6175.9531631951304</v>
      </c>
      <c r="E291" s="55"/>
    </row>
    <row r="294" spans="1:5" ht="15" x14ac:dyDescent="0.25">
      <c r="A294" s="55"/>
      <c r="B294" s="55" t="s">
        <v>26</v>
      </c>
      <c r="C294" s="55" t="s">
        <v>27</v>
      </c>
      <c r="D294" s="55" t="s">
        <v>21</v>
      </c>
      <c r="E294" s="55"/>
    </row>
    <row r="295" spans="1:5" ht="15" x14ac:dyDescent="0.25">
      <c r="A295" s="55" t="s">
        <v>16</v>
      </c>
      <c r="B295" s="55">
        <f>G142</f>
        <v>-263.85820003289973</v>
      </c>
      <c r="C295" s="55">
        <f t="shared" ref="C295:D295" si="28">H142</f>
        <v>-221.61415356232538</v>
      </c>
      <c r="D295" s="55">
        <f t="shared" si="28"/>
        <v>6175.9531631951304</v>
      </c>
      <c r="E295" s="55" t="s">
        <v>77</v>
      </c>
    </row>
    <row r="296" spans="1:5" ht="15" x14ac:dyDescent="0.25">
      <c r="A296" s="55" t="s">
        <v>17</v>
      </c>
      <c r="B296" s="55">
        <f>G141</f>
        <v>263.85820003289973</v>
      </c>
      <c r="C296" s="55">
        <f t="shared" ref="C296:D296" si="29">H141</f>
        <v>-870.76845258868457</v>
      </c>
      <c r="D296" s="55">
        <f t="shared" si="29"/>
        <v>5844.1187208037627</v>
      </c>
      <c r="E296" s="55"/>
    </row>
    <row r="297" spans="1:5" ht="15" x14ac:dyDescent="0.25">
      <c r="A297" s="55" t="s">
        <v>14</v>
      </c>
      <c r="B297" s="55">
        <f>G136</f>
        <v>263.85820003289973</v>
      </c>
      <c r="C297" s="55">
        <f t="shared" ref="C297:D297" si="30">H136</f>
        <v>-142.51338182134555</v>
      </c>
      <c r="D297" s="55">
        <f t="shared" si="30"/>
        <v>4419.4627792158799</v>
      </c>
      <c r="E297" s="55"/>
    </row>
    <row r="299" spans="1:5" ht="15" x14ac:dyDescent="0.25">
      <c r="A299" s="55" t="s">
        <v>78</v>
      </c>
      <c r="B299" s="55">
        <f>B296-B295</f>
        <v>527.71640006579946</v>
      </c>
      <c r="C299" s="55">
        <f t="shared" ref="C299:D299" si="31">C296-C295</f>
        <v>-649.15429902635924</v>
      </c>
      <c r="D299" s="55">
        <f t="shared" si="31"/>
        <v>-331.8344423913677</v>
      </c>
      <c r="E299" s="55" t="s">
        <v>76</v>
      </c>
    </row>
    <row r="300" spans="1:5" ht="15" x14ac:dyDescent="0.25">
      <c r="A300" s="55" t="s">
        <v>79</v>
      </c>
      <c r="B300" s="55">
        <f>B297-B296</f>
        <v>0</v>
      </c>
      <c r="C300" s="55">
        <f t="shared" ref="C300:D300" si="32">C297-C296</f>
        <v>728.25507076733902</v>
      </c>
      <c r="D300" s="55">
        <f t="shared" si="32"/>
        <v>-1424.6559415878828</v>
      </c>
      <c r="E300" s="55"/>
    </row>
    <row r="302" spans="1:5" ht="15" x14ac:dyDescent="0.25">
      <c r="A302" s="55"/>
      <c r="B302" s="55" t="s">
        <v>26</v>
      </c>
      <c r="C302" s="55" t="s">
        <v>27</v>
      </c>
      <c r="D302" s="55" t="s">
        <v>21</v>
      </c>
      <c r="E302" s="55" t="s">
        <v>27</v>
      </c>
    </row>
    <row r="303" spans="1:5" ht="15" x14ac:dyDescent="0.25">
      <c r="A303" s="55" t="s">
        <v>82</v>
      </c>
      <c r="B303" s="55">
        <f>C299*D300-C300*D299</f>
        <v>1166481.6444419858</v>
      </c>
      <c r="C303" s="55">
        <f>D299*B300-D300*B299</f>
        <v>751814.30482710944</v>
      </c>
      <c r="D303" s="55">
        <f>B299*C300-B300*C299</f>
        <v>384312.14427500416</v>
      </c>
      <c r="E303" s="55"/>
    </row>
    <row r="306" spans="1:5" ht="15" x14ac:dyDescent="0.25">
      <c r="A306" s="55"/>
      <c r="B306" s="55" t="s">
        <v>26</v>
      </c>
      <c r="C306" s="55" t="s">
        <v>27</v>
      </c>
      <c r="D306" s="55" t="s">
        <v>21</v>
      </c>
      <c r="E306" s="55" t="s">
        <v>80</v>
      </c>
    </row>
    <row r="307" spans="1:5" ht="15" x14ac:dyDescent="0.25">
      <c r="A307" s="55"/>
      <c r="B307" s="55">
        <v>0</v>
      </c>
      <c r="C307" s="55">
        <v>0</v>
      </c>
      <c r="D307" s="55">
        <v>-500</v>
      </c>
      <c r="E307" s="55"/>
    </row>
    <row r="310" spans="1:5" ht="15" x14ac:dyDescent="0.25">
      <c r="A310" s="55"/>
      <c r="B310" s="55" t="s">
        <v>26</v>
      </c>
      <c r="C310" s="55" t="s">
        <v>27</v>
      </c>
      <c r="D310" s="55" t="s">
        <v>21</v>
      </c>
      <c r="E310" s="55" t="s">
        <v>17</v>
      </c>
    </row>
    <row r="311" spans="1:5" ht="15" x14ac:dyDescent="0.25">
      <c r="A311" s="55" t="s">
        <v>17</v>
      </c>
      <c r="B311" s="55">
        <f>B296</f>
        <v>263.85820003289973</v>
      </c>
      <c r="C311" s="55">
        <f>C296</f>
        <v>-870.76845258868457</v>
      </c>
      <c r="D311" s="55">
        <f>D296</f>
        <v>5844.1187208037627</v>
      </c>
      <c r="E311" s="55"/>
    </row>
    <row r="313" spans="1:5" ht="15" x14ac:dyDescent="0.25">
      <c r="A313" s="55"/>
      <c r="B313" s="55" t="s">
        <v>26</v>
      </c>
      <c r="C313" s="55" t="s">
        <v>27</v>
      </c>
      <c r="D313" s="55" t="s">
        <v>21</v>
      </c>
      <c r="E313" s="55" t="s">
        <v>21</v>
      </c>
    </row>
    <row r="314" spans="1:5" ht="15" x14ac:dyDescent="0.25">
      <c r="A314" s="55" t="s">
        <v>81</v>
      </c>
      <c r="B314" s="55">
        <f>B311-B307</f>
        <v>263.85820003289973</v>
      </c>
      <c r="C314" s="55">
        <f t="shared" ref="C314:D314" si="33">C311-C307</f>
        <v>-870.76845258868457</v>
      </c>
      <c r="D314" s="55">
        <f t="shared" si="33"/>
        <v>6344.1187208037627</v>
      </c>
      <c r="E314" s="55"/>
    </row>
    <row r="317" spans="1:5" ht="15" x14ac:dyDescent="0.25">
      <c r="A317" s="55" t="s">
        <v>83</v>
      </c>
      <c r="B317" s="55">
        <f>B303*B314+C303*C314+D303*D314</f>
        <v>2091251437.3528304</v>
      </c>
    </row>
    <row r="320" spans="1:5" ht="15" x14ac:dyDescent="0.25">
      <c r="A320" s="55" t="str">
        <f>IF(B317&gt;0,"VISIBLE","NOT VISIBLE")</f>
        <v>VISIBLE</v>
      </c>
    </row>
    <row r="323" spans="1:1" x14ac:dyDescent="0.2">
      <c r="A323" t="s">
        <v>84</v>
      </c>
    </row>
  </sheetData>
  <phoneticPr fontId="0" type="noConversion"/>
  <pageMargins left="0.75" right="0.75" top="1" bottom="1" header="0.5" footer="0.5"/>
  <pageSetup scale="14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6" r:id="rId4" name="cmdDecrement">
          <controlPr defaultSize="0" autoLine="0" autoPict="0" r:id="rId5">
            <anchor moveWithCells="1">
              <from>
                <xdr:col>0</xdr:col>
                <xdr:colOff>352425</xdr:colOff>
                <xdr:row>9</xdr:row>
                <xdr:rowOff>19050</xdr:rowOff>
              </from>
              <to>
                <xdr:col>1</xdr:col>
                <xdr:colOff>571500</xdr:colOff>
                <xdr:row>11</xdr:row>
                <xdr:rowOff>19050</xdr:rowOff>
              </to>
            </anchor>
          </controlPr>
        </control>
      </mc:Choice>
      <mc:Fallback>
        <control shapeId="1056" r:id="rId4" name="cmdDecrement"/>
      </mc:Fallback>
    </mc:AlternateContent>
    <mc:AlternateContent xmlns:mc="http://schemas.openxmlformats.org/markup-compatibility/2006">
      <mc:Choice Requires="x14">
        <control shapeId="1050" r:id="rId6" name="cmdIncrement">
          <controlPr defaultSize="0" autoLine="0" autoPict="0" r:id="rId7">
            <anchor moveWithCells="1">
              <from>
                <xdr:col>0</xdr:col>
                <xdr:colOff>342900</xdr:colOff>
                <xdr:row>6</xdr:row>
                <xdr:rowOff>57150</xdr:rowOff>
              </from>
              <to>
                <xdr:col>1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1050" r:id="rId6" name="cmdIncrement"/>
      </mc:Fallback>
    </mc:AlternateContent>
    <mc:AlternateContent xmlns:mc="http://schemas.openxmlformats.org/markup-compatibility/2006">
      <mc:Choice Requires="x14">
        <control shapeId="1049" r:id="rId8" name="cmdRezero">
          <controlPr defaultSize="0" autoLine="0" autoPict="0" r:id="rId9">
            <anchor moveWithCells="1">
              <from>
                <xdr:col>0</xdr:col>
                <xdr:colOff>342900</xdr:colOff>
                <xdr:row>3</xdr:row>
                <xdr:rowOff>95250</xdr:rowOff>
              </from>
              <to>
                <xdr:col>1</xdr:col>
                <xdr:colOff>552450</xdr:colOff>
                <xdr:row>5</xdr:row>
                <xdr:rowOff>38100</xdr:rowOff>
              </to>
            </anchor>
          </controlPr>
        </control>
      </mc:Choice>
      <mc:Fallback>
        <control shapeId="1049" r:id="rId8" name="cmdRezer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200810BFG</vt:lpstr>
      <vt:lpstr>Main</vt:lpstr>
    </vt:vector>
  </TitlesOfParts>
  <Company>BCIT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Wndows 2K Pro</dc:creator>
  <cp:lastModifiedBy>user.gen.laptop</cp:lastModifiedBy>
  <cp:lastPrinted>2016-11-26T22:59:11Z</cp:lastPrinted>
  <dcterms:created xsi:type="dcterms:W3CDTF">2001-04-27T20:25:39Z</dcterms:created>
  <dcterms:modified xsi:type="dcterms:W3CDTF">2016-11-28T16:37:39Z</dcterms:modified>
</cp:coreProperties>
</file>