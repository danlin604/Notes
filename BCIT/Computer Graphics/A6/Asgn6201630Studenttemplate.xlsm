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J:\COMP\4560\Assignments\A6\"/>
    </mc:Choice>
  </mc:AlternateContent>
  <bookViews>
    <workbookView xWindow="-12" yWindow="120" windowWidth="11292" windowHeight="4356" firstSheet="1" activeTab="1"/>
  </bookViews>
  <sheets>
    <sheet name="200810BFG" sheetId="2" state="hidden" r:id="rId1"/>
    <sheet name="Main" sheetId="1" r:id="rId2"/>
  </sheets>
  <calcPr calcId="152511"/>
</workbook>
</file>

<file path=xl/calcChain.xml><?xml version="1.0" encoding="utf-8"?>
<calcChain xmlns="http://schemas.openxmlformats.org/spreadsheetml/2006/main">
  <c r="B26" i="1" l="1"/>
  <c r="T66" i="1" l="1"/>
  <c r="B51" i="1"/>
  <c r="U66" i="1" s="1"/>
  <c r="C52" i="1"/>
  <c r="T67" i="1"/>
  <c r="B52" i="1"/>
  <c r="U67" i="1" s="1"/>
  <c r="C53" i="1"/>
  <c r="T15" i="1" s="1"/>
  <c r="B53" i="1"/>
  <c r="U68" i="1" s="1"/>
  <c r="T69" i="1"/>
  <c r="B50" i="1"/>
  <c r="U69" i="1" s="1"/>
  <c r="C56" i="1"/>
  <c r="T71" i="1" s="1"/>
  <c r="B56" i="1"/>
  <c r="U71" i="1" s="1"/>
  <c r="C57" i="1"/>
  <c r="T72" i="1" s="1"/>
  <c r="B57" i="1"/>
  <c r="U72" i="1" s="1"/>
  <c r="C28" i="1"/>
  <c r="T73" i="1" s="1"/>
  <c r="B28" i="1"/>
  <c r="U73" i="1" s="1"/>
  <c r="C26" i="1"/>
  <c r="T75" i="1" s="1"/>
  <c r="U75" i="1"/>
  <c r="C27" i="1"/>
  <c r="T76" i="1" s="1"/>
  <c r="B27" i="1"/>
  <c r="U76" i="1" s="1"/>
  <c r="C29" i="1"/>
  <c r="T78" i="1"/>
  <c r="B29" i="1"/>
  <c r="U78" i="1" s="1"/>
  <c r="C30" i="1"/>
  <c r="T79" i="1" s="1"/>
  <c r="C31" i="1"/>
  <c r="T80" i="1"/>
  <c r="F8" i="1"/>
  <c r="F12" i="1" s="1"/>
  <c r="D8" i="1"/>
  <c r="D12" i="1" s="1"/>
  <c r="D53" i="1"/>
  <c r="T6" i="1"/>
  <c r="T7" i="1"/>
  <c r="C55" i="1"/>
  <c r="T8" i="1" s="1"/>
  <c r="B55" i="1"/>
  <c r="U8" i="1" s="1"/>
  <c r="C46" i="1"/>
  <c r="T9" i="1" s="1"/>
  <c r="B46" i="1"/>
  <c r="U9" i="1" s="1"/>
  <c r="C45" i="1"/>
  <c r="T41" i="1" s="1"/>
  <c r="U10" i="1"/>
  <c r="T11" i="1"/>
  <c r="U11" i="1"/>
  <c r="T13" i="1"/>
  <c r="B49" i="1"/>
  <c r="U13" i="1" s="1"/>
  <c r="T14" i="1"/>
  <c r="C54" i="1"/>
  <c r="T16" i="1" s="1"/>
  <c r="B54" i="1"/>
  <c r="U16" i="1" s="1"/>
  <c r="C47" i="1"/>
  <c r="T17" i="1" s="1"/>
  <c r="B47" i="1"/>
  <c r="U17" i="1" s="1"/>
  <c r="C48" i="1"/>
  <c r="T18" i="1" s="1"/>
  <c r="B48" i="1"/>
  <c r="U18" i="1" s="1"/>
  <c r="T19" i="1"/>
  <c r="T21" i="1"/>
  <c r="U21" i="1"/>
  <c r="T22" i="1"/>
  <c r="B34" i="1"/>
  <c r="U49" i="1" s="1"/>
  <c r="C35" i="1"/>
  <c r="T23" i="1" s="1"/>
  <c r="B35" i="1"/>
  <c r="U23" i="1" s="1"/>
  <c r="C38" i="1"/>
  <c r="T24" i="1" s="1"/>
  <c r="U24" i="1"/>
  <c r="T25" i="1"/>
  <c r="U25" i="1"/>
  <c r="C42" i="1"/>
  <c r="T27" i="1" s="1"/>
  <c r="B42" i="1"/>
  <c r="U27" i="1" s="1"/>
  <c r="C43" i="1"/>
  <c r="T28" i="1" s="1"/>
  <c r="B43" i="1"/>
  <c r="U28" i="1" s="1"/>
  <c r="C44" i="1"/>
  <c r="T29" i="1"/>
  <c r="U29" i="1"/>
  <c r="C39" i="1"/>
  <c r="T30" i="1" s="1"/>
  <c r="U30" i="1"/>
  <c r="T31" i="1"/>
  <c r="C41" i="1"/>
  <c r="T33" i="1" s="1"/>
  <c r="B41" i="1"/>
  <c r="U33" i="1" s="1"/>
  <c r="C40" i="1"/>
  <c r="T34" i="1"/>
  <c r="U34" i="1"/>
  <c r="C37" i="1"/>
  <c r="T35" i="1" s="1"/>
  <c r="U35" i="1"/>
  <c r="C36" i="1"/>
  <c r="T36" i="1" s="1"/>
  <c r="B36" i="1"/>
  <c r="U36" i="1" s="1"/>
  <c r="T39" i="1"/>
  <c r="U39" i="1"/>
  <c r="T40" i="1"/>
  <c r="U40" i="1"/>
  <c r="U41" i="1"/>
  <c r="T42" i="1"/>
  <c r="U42" i="1"/>
  <c r="U43" i="1"/>
  <c r="T44" i="1"/>
  <c r="U44" i="1"/>
  <c r="U45" i="1"/>
  <c r="U46" i="1"/>
  <c r="T47" i="1"/>
  <c r="U47" i="1"/>
  <c r="T49" i="1"/>
  <c r="T50" i="1"/>
  <c r="T53" i="1"/>
  <c r="U53" i="1"/>
  <c r="T56" i="1"/>
  <c r="T57" i="1"/>
  <c r="T60" i="1"/>
  <c r="U61" i="1"/>
  <c r="T62" i="1"/>
  <c r="U62" i="1"/>
  <c r="T63" i="1"/>
  <c r="T65" i="1"/>
  <c r="U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D29" i="1"/>
  <c r="D28" i="1"/>
  <c r="D26" i="1"/>
  <c r="D27" i="1" s="1"/>
  <c r="T46" i="1"/>
  <c r="T43" i="1"/>
  <c r="T10" i="1" l="1"/>
  <c r="T61" i="1"/>
  <c r="T52" i="1"/>
  <c r="T54" i="1"/>
  <c r="T51" i="1"/>
  <c r="T59" i="1"/>
  <c r="U51" i="1"/>
  <c r="U14" i="1"/>
  <c r="B30" i="1"/>
  <c r="U79" i="1" s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U57" i="1"/>
</calcChain>
</file>

<file path=xl/sharedStrings.xml><?xml version="1.0" encoding="utf-8"?>
<sst xmlns="http://schemas.openxmlformats.org/spreadsheetml/2006/main" count="119" uniqueCount="42">
  <si>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</si>
  <si>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</si>
  <si>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</si>
  <si>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</si>
  <si>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</si>
  <si>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</si>
  <si>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</si>
  <si>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</si>
  <si>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</si>
  <si>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</si>
  <si>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</si>
  <si>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</si>
  <si>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</si>
  <si>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</si>
  <si>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</si>
  <si>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</si>
  <si>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</si>
  <si>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</si>
  <si>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</si>
  <si>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</si>
  <si>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</si>
  <si>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</si>
  <si>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</si>
  <si>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</si>
  <si>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</si>
  <si>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</si>
  <si>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</si>
  <si>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</si>
  <si>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</si>
  <si>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</si>
  <si>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</si>
  <si>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</si>
  <si>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</si>
  <si>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</si>
  <si>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</si>
  <si>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</si>
  <si>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</si>
  <si>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</si>
  <si>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</si>
  <si>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</si>
  <si>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Template for Comp 4560 Laboratory Assignment 6 (201330)</t>
  </si>
  <si>
    <t>Asgn6201330Studenttemplate (version 1).xlsb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</si>
</sst>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0" xfId="0" applyFont="1"/>
    <xf numFmtId="0" fontId="10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>
      <alignment horizontal="center"/>
    </xf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1" fillId="0" borderId="0" xfId="0" applyNumberFormat="1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06448"/>
        <c:axId val="484806840"/>
      </c:scatterChart>
      <c:valAx>
        <c:axId val="484806448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6840"/>
        <c:crosses val="autoZero"/>
        <c:crossBetween val="midCat"/>
      </c:valAx>
      <c:valAx>
        <c:axId val="484806840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6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07624"/>
        <c:axId val="484808016"/>
      </c:scatterChart>
      <c:valAx>
        <c:axId val="484807624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8016"/>
        <c:crosses val="autoZero"/>
        <c:crossBetween val="midCat"/>
        <c:majorUnit val="40"/>
      </c:valAx>
      <c:valAx>
        <c:axId val="484808016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7624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0">
                  <c:v>0</c:v>
                </c:pt>
                <c:pt idx="71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0">
                  <c:v>0</c:v>
                </c:pt>
                <c:pt idx="71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935288"/>
        <c:axId val="484935680"/>
      </c:scatterChart>
      <c:valAx>
        <c:axId val="48493528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935680"/>
        <c:crosses val="autoZero"/>
        <c:crossBetween val="midCat"/>
        <c:majorUnit val="200"/>
      </c:valAx>
      <c:valAx>
        <c:axId val="484935680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935288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coordinates,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/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99060</xdr:rowOff>
        </xdr:from>
        <xdr:to>
          <xdr:col>1</xdr:col>
          <xdr:colOff>556260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60960</xdr:rowOff>
        </xdr:from>
        <xdr:to>
          <xdr:col>1</xdr:col>
          <xdr:colOff>563880</xdr:colOff>
          <xdr:row>8</xdr:row>
          <xdr:rowOff>60960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9</xdr:row>
          <xdr:rowOff>22860</xdr:rowOff>
        </xdr:from>
        <xdr:to>
          <xdr:col>1</xdr:col>
          <xdr:colOff>571500</xdr:colOff>
          <xdr:row>11</xdr:row>
          <xdr:rowOff>22860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selection activeCell="F10" sqref="F10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47">
        <v>41960.439328703702</v>
      </c>
      <c r="B1" s="48" t="s">
        <v>41</v>
      </c>
      <c r="C1" s="48" t="s">
        <v>36</v>
      </c>
    </row>
    <row r="2" spans="1:3" x14ac:dyDescent="0.25">
      <c r="A2" s="47">
        <v>41960.439583333333</v>
      </c>
      <c r="B2" s="48" t="s">
        <v>41</v>
      </c>
      <c r="C2" s="48" t="s">
        <v>36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1"/>
  <sheetViews>
    <sheetView tabSelected="1" workbookViewId="0">
      <selection activeCell="L2" sqref="L2"/>
    </sheetView>
  </sheetViews>
  <sheetFormatPr defaultColWidth="9" defaultRowHeight="13.2" x14ac:dyDescent="0.25"/>
  <sheetData>
    <row r="1" spans="1:21" ht="17.399999999999999" x14ac:dyDescent="0.3">
      <c r="A1" s="39" t="s">
        <v>36</v>
      </c>
    </row>
    <row r="2" spans="1:21" ht="21" x14ac:dyDescent="0.4">
      <c r="A2" s="1" t="s">
        <v>40</v>
      </c>
    </row>
    <row r="3" spans="1:21" ht="13.8" thickBot="1" x14ac:dyDescent="0.3"/>
    <row r="4" spans="1:21" ht="16.2" thickBot="1" x14ac:dyDescent="0.35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8" thickTop="1" x14ac:dyDescent="0.25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5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0</v>
      </c>
    </row>
    <row r="7" spans="1:21" x14ac:dyDescent="0.25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0</v>
      </c>
      <c r="U7" s="38">
        <f t="shared" si="1"/>
        <v>0</v>
      </c>
    </row>
    <row r="8" spans="1:21" x14ac:dyDescent="0.25">
      <c r="A8" s="17"/>
      <c r="B8" s="13"/>
      <c r="C8" s="4"/>
      <c r="D8" s="13">
        <f>3*MAX(B32,C32)</f>
        <v>0</v>
      </c>
      <c r="E8" s="21">
        <v>0</v>
      </c>
      <c r="F8" s="13">
        <f>8*D32</f>
        <v>0</v>
      </c>
      <c r="G8" s="7"/>
      <c r="S8" s="37" t="s">
        <v>0</v>
      </c>
      <c r="T8" s="4">
        <f t="shared" si="0"/>
        <v>0</v>
      </c>
      <c r="U8" s="38">
        <f t="shared" si="1"/>
        <v>0</v>
      </c>
    </row>
    <row r="9" spans="1:21" x14ac:dyDescent="0.25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0</v>
      </c>
      <c r="U9" s="38">
        <f t="shared" si="1"/>
        <v>0</v>
      </c>
    </row>
    <row r="10" spans="1:21" x14ac:dyDescent="0.25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0</v>
      </c>
      <c r="U10" s="38">
        <f t="shared" si="1"/>
        <v>0</v>
      </c>
    </row>
    <row r="11" spans="1:21" x14ac:dyDescent="0.25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8" thickBot="1" x14ac:dyDescent="0.3">
      <c r="A12" s="26"/>
      <c r="B12" s="8"/>
      <c r="C12" s="8"/>
      <c r="D12" s="15">
        <f>D8*COS(E8)</f>
        <v>0</v>
      </c>
      <c r="E12" s="15">
        <f>D8*SIN(E8)</f>
        <v>0</v>
      </c>
      <c r="F12" s="15">
        <f>F8</f>
        <v>0</v>
      </c>
      <c r="G12" s="9"/>
      <c r="S12" s="37"/>
      <c r="T12" s="4"/>
      <c r="U12" s="38"/>
    </row>
    <row r="13" spans="1:21" x14ac:dyDescent="0.25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0</v>
      </c>
    </row>
    <row r="14" spans="1:21" x14ac:dyDescent="0.25">
      <c r="B14" s="3"/>
      <c r="D14" s="3"/>
      <c r="S14" s="37" t="s">
        <v>24</v>
      </c>
      <c r="T14" s="4">
        <f t="shared" si="0"/>
        <v>0</v>
      </c>
      <c r="U14" s="38">
        <f t="shared" si="1"/>
        <v>0</v>
      </c>
    </row>
    <row r="15" spans="1:21" x14ac:dyDescent="0.25">
      <c r="B15" s="3"/>
      <c r="D15" s="3"/>
      <c r="S15" s="37" t="s">
        <v>27</v>
      </c>
      <c r="T15" s="4">
        <f t="shared" si="0"/>
        <v>0</v>
      </c>
      <c r="U15" s="38">
        <f t="shared" si="1"/>
        <v>0</v>
      </c>
    </row>
    <row r="16" spans="1:21" x14ac:dyDescent="0.25">
      <c r="B16" s="3"/>
      <c r="D16" s="3"/>
      <c r="S16" s="37" t="s">
        <v>28</v>
      </c>
      <c r="T16" s="4">
        <f t="shared" si="0"/>
        <v>0</v>
      </c>
      <c r="U16" s="38">
        <f t="shared" si="1"/>
        <v>0</v>
      </c>
    </row>
    <row r="17" spans="1:21" ht="14.4" customHeight="1" x14ac:dyDescent="0.25">
      <c r="D17" s="3"/>
      <c r="S17" s="37" t="s">
        <v>23</v>
      </c>
      <c r="T17" s="4">
        <f t="shared" si="0"/>
        <v>0</v>
      </c>
      <c r="U17" s="38">
        <f t="shared" si="1"/>
        <v>0</v>
      </c>
    </row>
    <row r="18" spans="1:21" x14ac:dyDescent="0.25">
      <c r="S18" s="37" t="s">
        <v>17</v>
      </c>
      <c r="T18" s="4">
        <f t="shared" si="0"/>
        <v>0</v>
      </c>
      <c r="U18" s="38">
        <f t="shared" si="1"/>
        <v>0</v>
      </c>
    </row>
    <row r="19" spans="1:21" x14ac:dyDescent="0.25">
      <c r="S19" s="37" t="s">
        <v>16</v>
      </c>
      <c r="T19" s="4">
        <f t="shared" si="0"/>
        <v>0</v>
      </c>
      <c r="U19" s="38">
        <f t="shared" si="1"/>
        <v>0</v>
      </c>
    </row>
    <row r="20" spans="1:21" x14ac:dyDescent="0.25">
      <c r="S20" s="37"/>
      <c r="T20" s="4"/>
      <c r="U20" s="38"/>
    </row>
    <row r="21" spans="1:21" x14ac:dyDescent="0.25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5">
      <c r="S22" s="37" t="s">
        <v>7</v>
      </c>
      <c r="T22" s="4">
        <f t="shared" si="0"/>
        <v>0</v>
      </c>
      <c r="U22" s="38">
        <f t="shared" si="1"/>
        <v>0</v>
      </c>
    </row>
    <row r="23" spans="1:21" x14ac:dyDescent="0.25">
      <c r="A23" t="s">
        <v>35</v>
      </c>
      <c r="C23" s="2"/>
      <c r="S23" s="37" t="s">
        <v>8</v>
      </c>
      <c r="T23" s="4">
        <f t="shared" si="0"/>
        <v>0</v>
      </c>
      <c r="U23" s="38">
        <f t="shared" si="1"/>
        <v>0</v>
      </c>
    </row>
    <row r="24" spans="1:21" ht="13.8" thickBot="1" x14ac:dyDescent="0.3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0</v>
      </c>
      <c r="U24" s="38">
        <f t="shared" si="1"/>
        <v>0</v>
      </c>
    </row>
    <row r="25" spans="1:21" x14ac:dyDescent="0.25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5">
      <c r="A26" s="23" t="s">
        <v>30</v>
      </c>
      <c r="B26">
        <f>0.35*B32</f>
        <v>0</v>
      </c>
      <c r="C26">
        <f>0.3*C32</f>
        <v>0</v>
      </c>
      <c r="D26">
        <f>D32</f>
        <v>0</v>
      </c>
      <c r="E26" s="14">
        <v>1</v>
      </c>
      <c r="S26" s="37"/>
      <c r="T26" s="4"/>
      <c r="U26" s="38"/>
    </row>
    <row r="27" spans="1:21" x14ac:dyDescent="0.25">
      <c r="A27" s="23" t="s">
        <v>31</v>
      </c>
      <c r="B27">
        <f>0.95*B32</f>
        <v>0</v>
      </c>
      <c r="C27">
        <f>C26</f>
        <v>0</v>
      </c>
      <c r="D27">
        <f>D26</f>
        <v>0</v>
      </c>
      <c r="E27" s="14">
        <v>1</v>
      </c>
      <c r="S27" s="37" t="s">
        <v>13</v>
      </c>
      <c r="T27" s="4">
        <f t="shared" si="0"/>
        <v>0</v>
      </c>
      <c r="U27" s="38">
        <f t="shared" si="1"/>
        <v>0</v>
      </c>
    </row>
    <row r="28" spans="1:21" x14ac:dyDescent="0.25">
      <c r="A28" s="23" t="s">
        <v>32</v>
      </c>
      <c r="B28">
        <f>0.6*B32</f>
        <v>0</v>
      </c>
      <c r="C28">
        <f>0.5*C32</f>
        <v>0</v>
      </c>
      <c r="D28">
        <f>D32</f>
        <v>0</v>
      </c>
      <c r="E28" s="14">
        <v>1</v>
      </c>
      <c r="S28" s="37" t="s">
        <v>14</v>
      </c>
      <c r="T28" s="4">
        <f t="shared" si="0"/>
        <v>0</v>
      </c>
      <c r="U28" s="38">
        <f t="shared" si="1"/>
        <v>0</v>
      </c>
    </row>
    <row r="29" spans="1:21" x14ac:dyDescent="0.25">
      <c r="A29" s="23" t="s">
        <v>34</v>
      </c>
      <c r="B29">
        <f>0.2*B32</f>
        <v>0</v>
      </c>
      <c r="C29">
        <f>0.35*C32</f>
        <v>0</v>
      </c>
      <c r="D29">
        <f>4.5*D32</f>
        <v>0</v>
      </c>
      <c r="E29" s="14">
        <v>1</v>
      </c>
      <c r="S29" s="37" t="s">
        <v>15</v>
      </c>
      <c r="T29" s="4">
        <f t="shared" si="0"/>
        <v>0</v>
      </c>
      <c r="U29" s="38">
        <f t="shared" si="1"/>
        <v>0</v>
      </c>
    </row>
    <row r="30" spans="1:21" x14ac:dyDescent="0.25">
      <c r="A30" s="23" t="s">
        <v>37</v>
      </c>
      <c r="B30">
        <f>B29</f>
        <v>0</v>
      </c>
      <c r="C30">
        <f>0.5*C32</f>
        <v>0</v>
      </c>
      <c r="D30">
        <f>2.5*D32</f>
        <v>0</v>
      </c>
      <c r="E30" s="14">
        <v>1</v>
      </c>
      <c r="S30" s="37" t="s">
        <v>4</v>
      </c>
      <c r="T30" s="4">
        <f t="shared" si="0"/>
        <v>0</v>
      </c>
      <c r="U30" s="38">
        <f t="shared" si="1"/>
        <v>0</v>
      </c>
    </row>
    <row r="31" spans="1:21" x14ac:dyDescent="0.25">
      <c r="A31" s="23" t="s">
        <v>38</v>
      </c>
      <c r="B31">
        <f>B29</f>
        <v>0</v>
      </c>
      <c r="C31">
        <f>0.65*C32</f>
        <v>0</v>
      </c>
      <c r="D31">
        <f>3*D32</f>
        <v>0</v>
      </c>
      <c r="E31" s="14">
        <v>1</v>
      </c>
      <c r="S31" s="37" t="s">
        <v>13</v>
      </c>
      <c r="T31" s="4">
        <f t="shared" si="0"/>
        <v>0</v>
      </c>
      <c r="U31" s="38">
        <f t="shared" si="1"/>
        <v>0</v>
      </c>
    </row>
    <row r="32" spans="1:21" x14ac:dyDescent="0.25">
      <c r="A32" s="23" t="s">
        <v>39</v>
      </c>
      <c r="B32" s="33"/>
      <c r="C32" s="33"/>
      <c r="D32" s="33"/>
      <c r="E32" s="14">
        <v>1</v>
      </c>
      <c r="S32" s="37"/>
      <c r="T32" s="4"/>
      <c r="U32" s="38"/>
    </row>
    <row r="33" spans="1:21" x14ac:dyDescent="0.25">
      <c r="A33" s="23" t="s">
        <v>6</v>
      </c>
      <c r="B33">
        <v>0</v>
      </c>
      <c r="C33">
        <v>0</v>
      </c>
      <c r="D33">
        <f>3*D32</f>
        <v>0</v>
      </c>
      <c r="E33" s="29">
        <v>1</v>
      </c>
      <c r="S33" s="37" t="s">
        <v>12</v>
      </c>
      <c r="T33" s="4">
        <f t="shared" si="0"/>
        <v>0</v>
      </c>
      <c r="U33" s="38">
        <f t="shared" si="1"/>
        <v>0</v>
      </c>
    </row>
    <row r="34" spans="1:21" x14ac:dyDescent="0.25">
      <c r="A34" s="23" t="s">
        <v>7</v>
      </c>
      <c r="B34">
        <f>0.2*B32</f>
        <v>0</v>
      </c>
      <c r="C34">
        <v>0</v>
      </c>
      <c r="D34">
        <f>3*D32</f>
        <v>0</v>
      </c>
      <c r="E34" s="29">
        <v>1</v>
      </c>
      <c r="S34" s="37" t="s">
        <v>29</v>
      </c>
      <c r="T34" s="4">
        <f t="shared" si="0"/>
        <v>0</v>
      </c>
      <c r="U34" s="38">
        <f t="shared" si="1"/>
        <v>0</v>
      </c>
    </row>
    <row r="35" spans="1:21" x14ac:dyDescent="0.25">
      <c r="A35" s="23" t="s">
        <v>8</v>
      </c>
      <c r="B35">
        <f>0.2*B32</f>
        <v>0</v>
      </c>
      <c r="C35">
        <f>0.3*C32</f>
        <v>0</v>
      </c>
      <c r="D35">
        <f>3*D32</f>
        <v>0</v>
      </c>
      <c r="E35" s="29">
        <v>1</v>
      </c>
      <c r="S35" s="37" t="s">
        <v>9</v>
      </c>
      <c r="T35" s="4">
        <f t="shared" si="0"/>
        <v>0</v>
      </c>
      <c r="U35" s="38">
        <f t="shared" si="1"/>
        <v>0</v>
      </c>
    </row>
    <row r="36" spans="1:21" x14ac:dyDescent="0.25">
      <c r="A36" s="23" t="s">
        <v>5</v>
      </c>
      <c r="B36">
        <f>0.2*B32</f>
        <v>0</v>
      </c>
      <c r="C36">
        <f>0.3*C32</f>
        <v>0</v>
      </c>
      <c r="D36">
        <f>5*D32</f>
        <v>0</v>
      </c>
      <c r="E36" s="29">
        <v>1</v>
      </c>
      <c r="S36" s="37" t="s">
        <v>5</v>
      </c>
      <c r="T36" s="4">
        <f t="shared" si="0"/>
        <v>0</v>
      </c>
      <c r="U36" s="38">
        <f t="shared" si="1"/>
        <v>0</v>
      </c>
    </row>
    <row r="37" spans="1:21" x14ac:dyDescent="0.25">
      <c r="A37" s="23" t="s">
        <v>9</v>
      </c>
      <c r="B37">
        <v>0</v>
      </c>
      <c r="C37">
        <f>0.3*C32</f>
        <v>0</v>
      </c>
      <c r="D37">
        <f>5*D32</f>
        <v>0</v>
      </c>
      <c r="E37" s="29">
        <v>1</v>
      </c>
      <c r="S37" s="37" t="s">
        <v>12</v>
      </c>
      <c r="T37" s="4">
        <f t="shared" si="0"/>
        <v>0</v>
      </c>
      <c r="U37" s="38">
        <f t="shared" si="1"/>
        <v>0</v>
      </c>
    </row>
    <row r="38" spans="1:21" x14ac:dyDescent="0.25">
      <c r="A38" s="23" t="s">
        <v>10</v>
      </c>
      <c r="B38">
        <v>0</v>
      </c>
      <c r="C38">
        <f>0.3*C32</f>
        <v>0</v>
      </c>
      <c r="D38">
        <f>3*D32</f>
        <v>0</v>
      </c>
      <c r="E38" s="40">
        <v>1</v>
      </c>
      <c r="S38" s="37"/>
      <c r="T38" s="4"/>
      <c r="U38" s="38"/>
    </row>
    <row r="39" spans="1:21" x14ac:dyDescent="0.25">
      <c r="A39" s="23" t="s">
        <v>4</v>
      </c>
      <c r="B39">
        <v>0</v>
      </c>
      <c r="C39">
        <f>0.7*C32</f>
        <v>0</v>
      </c>
      <c r="D39">
        <f>3*D32</f>
        <v>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5">
      <c r="A40" s="23" t="s">
        <v>11</v>
      </c>
      <c r="B40">
        <v>0</v>
      </c>
      <c r="C40">
        <f>0.7*C32</f>
        <v>0</v>
      </c>
      <c r="D40">
        <f>5*D32</f>
        <v>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5">
      <c r="A41" s="23" t="s">
        <v>12</v>
      </c>
      <c r="B41">
        <f>0.2*B32</f>
        <v>0</v>
      </c>
      <c r="C41">
        <f>0.7*C32</f>
        <v>0</v>
      </c>
      <c r="D41">
        <f>5*D32</f>
        <v>0</v>
      </c>
      <c r="E41" s="14">
        <v>1</v>
      </c>
      <c r="S41" s="37" t="s">
        <v>21</v>
      </c>
      <c r="T41" s="4">
        <f t="shared" si="0"/>
        <v>0</v>
      </c>
      <c r="U41" s="38">
        <f t="shared" si="1"/>
        <v>0</v>
      </c>
    </row>
    <row r="42" spans="1:21" x14ac:dyDescent="0.25">
      <c r="A42" s="23" t="s">
        <v>13</v>
      </c>
      <c r="B42">
        <f>0.2*B32</f>
        <v>0</v>
      </c>
      <c r="C42">
        <f>0.7*C32</f>
        <v>0</v>
      </c>
      <c r="D42">
        <f>3*D32</f>
        <v>0</v>
      </c>
      <c r="E42" s="14">
        <v>1</v>
      </c>
      <c r="S42" s="37" t="s">
        <v>15</v>
      </c>
      <c r="T42" s="4">
        <f t="shared" si="0"/>
        <v>0</v>
      </c>
      <c r="U42" s="38">
        <f t="shared" si="1"/>
        <v>0</v>
      </c>
    </row>
    <row r="43" spans="1:21" x14ac:dyDescent="0.25">
      <c r="A43" s="23" t="s">
        <v>14</v>
      </c>
      <c r="B43">
        <f>0.2*B32</f>
        <v>0</v>
      </c>
      <c r="C43">
        <f>C32</f>
        <v>0</v>
      </c>
      <c r="D43">
        <f>3*D32</f>
        <v>0</v>
      </c>
      <c r="E43" s="14">
        <v>1</v>
      </c>
      <c r="S43" s="37" t="s">
        <v>4</v>
      </c>
      <c r="T43" s="4">
        <f t="shared" si="0"/>
        <v>0</v>
      </c>
      <c r="U43" s="38">
        <f t="shared" si="1"/>
        <v>0</v>
      </c>
    </row>
    <row r="44" spans="1:21" x14ac:dyDescent="0.25">
      <c r="A44" s="12" t="s">
        <v>15</v>
      </c>
      <c r="B44" s="6">
        <v>0</v>
      </c>
      <c r="C44">
        <f>C32</f>
        <v>0</v>
      </c>
      <c r="D44">
        <f>3*D32</f>
        <v>0</v>
      </c>
      <c r="E44" s="14">
        <v>1</v>
      </c>
      <c r="S44" s="37" t="s">
        <v>29</v>
      </c>
      <c r="T44" s="4">
        <f t="shared" si="0"/>
        <v>0</v>
      </c>
      <c r="U44" s="38">
        <f t="shared" si="1"/>
        <v>0</v>
      </c>
    </row>
    <row r="45" spans="1:21" x14ac:dyDescent="0.25">
      <c r="A45" s="13" t="s">
        <v>21</v>
      </c>
      <c r="B45" s="6">
        <v>0</v>
      </c>
      <c r="C45">
        <f>C32</f>
        <v>0</v>
      </c>
      <c r="D45">
        <v>0</v>
      </c>
      <c r="E45" s="14">
        <v>1</v>
      </c>
      <c r="S45" s="37" t="s">
        <v>9</v>
      </c>
      <c r="T45" s="4">
        <f t="shared" si="0"/>
        <v>0</v>
      </c>
      <c r="U45" s="38">
        <f t="shared" si="1"/>
        <v>0</v>
      </c>
    </row>
    <row r="46" spans="1:21" x14ac:dyDescent="0.25">
      <c r="A46" s="13" t="s">
        <v>22</v>
      </c>
      <c r="B46" s="6">
        <f>0.7*B32</f>
        <v>0</v>
      </c>
      <c r="C46">
        <f>C32</f>
        <v>0</v>
      </c>
      <c r="D46">
        <v>0</v>
      </c>
      <c r="E46" s="14">
        <v>1</v>
      </c>
      <c r="S46" s="37" t="s">
        <v>10</v>
      </c>
      <c r="T46" s="4">
        <f t="shared" si="0"/>
        <v>0</v>
      </c>
      <c r="U46" s="38">
        <f t="shared" si="1"/>
        <v>0</v>
      </c>
    </row>
    <row r="47" spans="1:21" x14ac:dyDescent="0.25">
      <c r="A47" s="13" t="s">
        <v>23</v>
      </c>
      <c r="B47" s="6">
        <f>0.7*B32</f>
        <v>0</v>
      </c>
      <c r="C47">
        <f>C32</f>
        <v>0</v>
      </c>
      <c r="D47">
        <f>D32</f>
        <v>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5">
      <c r="A48" s="13" t="s">
        <v>17</v>
      </c>
      <c r="B48" s="6">
        <f>0.2*B32</f>
        <v>0</v>
      </c>
      <c r="C48">
        <f>C32</f>
        <v>0</v>
      </c>
      <c r="D48">
        <f>D32</f>
        <v>0</v>
      </c>
      <c r="E48" s="14">
        <v>1</v>
      </c>
      <c r="S48" s="37"/>
      <c r="T48" s="4"/>
      <c r="U48" s="38"/>
    </row>
    <row r="49" spans="1:21" x14ac:dyDescent="0.25">
      <c r="A49" s="13" t="s">
        <v>16</v>
      </c>
      <c r="B49" s="6">
        <f>0.2*B32</f>
        <v>0</v>
      </c>
      <c r="C49">
        <v>0</v>
      </c>
      <c r="D49">
        <f>D32</f>
        <v>0</v>
      </c>
      <c r="E49" s="14">
        <v>1</v>
      </c>
      <c r="S49" s="37" t="s">
        <v>7</v>
      </c>
      <c r="T49" s="4">
        <f t="shared" si="0"/>
        <v>0</v>
      </c>
      <c r="U49" s="38">
        <f t="shared" si="1"/>
        <v>0</v>
      </c>
    </row>
    <row r="50" spans="1:21" x14ac:dyDescent="0.25">
      <c r="A50" s="13" t="s">
        <v>24</v>
      </c>
      <c r="B50" s="6">
        <f>B32</f>
        <v>0</v>
      </c>
      <c r="C50">
        <v>0</v>
      </c>
      <c r="D50">
        <f>D32</f>
        <v>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0</v>
      </c>
    </row>
    <row r="51" spans="1:21" x14ac:dyDescent="0.25">
      <c r="A51" s="13" t="s">
        <v>25</v>
      </c>
      <c r="B51" s="6">
        <f>B32</f>
        <v>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0</v>
      </c>
      <c r="U51" s="38">
        <f t="shared" si="1"/>
        <v>0</v>
      </c>
    </row>
    <row r="52" spans="1:21" x14ac:dyDescent="0.25">
      <c r="A52" s="13" t="s">
        <v>26</v>
      </c>
      <c r="B52" s="6">
        <f>B32</f>
        <v>0</v>
      </c>
      <c r="C52">
        <f>0.4*C32</f>
        <v>0</v>
      </c>
      <c r="D52">
        <v>0</v>
      </c>
      <c r="E52" s="14">
        <v>1</v>
      </c>
      <c r="S52" s="37" t="s">
        <v>14</v>
      </c>
      <c r="T52" s="4">
        <f t="shared" si="0"/>
        <v>0</v>
      </c>
      <c r="U52" s="38">
        <f t="shared" si="1"/>
        <v>0</v>
      </c>
    </row>
    <row r="53" spans="1:21" x14ac:dyDescent="0.25">
      <c r="A53" s="13" t="s">
        <v>27</v>
      </c>
      <c r="B53" s="6">
        <f>B32</f>
        <v>0</v>
      </c>
      <c r="C53">
        <f>0.4*C32</f>
        <v>0</v>
      </c>
      <c r="D53">
        <f>D32</f>
        <v>0</v>
      </c>
      <c r="E53" s="14">
        <v>1</v>
      </c>
      <c r="S53" s="37" t="s">
        <v>13</v>
      </c>
      <c r="T53" s="4">
        <f t="shared" si="0"/>
        <v>0</v>
      </c>
      <c r="U53" s="38">
        <f t="shared" si="1"/>
        <v>0</v>
      </c>
    </row>
    <row r="54" spans="1:21" x14ac:dyDescent="0.25">
      <c r="A54" s="13" t="s">
        <v>28</v>
      </c>
      <c r="B54" s="6">
        <f>0.7*B32</f>
        <v>0</v>
      </c>
      <c r="C54">
        <f>0.4*C32</f>
        <v>0</v>
      </c>
      <c r="D54">
        <f>D32</f>
        <v>0</v>
      </c>
      <c r="E54" s="14">
        <v>1</v>
      </c>
      <c r="S54" s="37" t="s">
        <v>12</v>
      </c>
      <c r="T54" s="4">
        <f t="shared" si="0"/>
        <v>0</v>
      </c>
      <c r="U54" s="38">
        <f t="shared" si="1"/>
        <v>0</v>
      </c>
    </row>
    <row r="55" spans="1:21" x14ac:dyDescent="0.25">
      <c r="A55" s="14" t="s">
        <v>0</v>
      </c>
      <c r="B55">
        <f>0.7*B32</f>
        <v>0</v>
      </c>
      <c r="C55">
        <f>0.4*C32</f>
        <v>0</v>
      </c>
      <c r="D55">
        <v>0</v>
      </c>
      <c r="E55" s="14">
        <v>1</v>
      </c>
      <c r="S55" s="37" t="s">
        <v>5</v>
      </c>
      <c r="T55" s="4">
        <f t="shared" si="0"/>
        <v>0</v>
      </c>
      <c r="U55" s="38">
        <f t="shared" si="1"/>
        <v>0</v>
      </c>
    </row>
    <row r="56" spans="1:21" x14ac:dyDescent="0.25">
      <c r="A56" s="14" t="s">
        <v>1</v>
      </c>
      <c r="B56">
        <f>0.25*B32</f>
        <v>0</v>
      </c>
      <c r="C56">
        <f>0.15*C32</f>
        <v>0</v>
      </c>
      <c r="D56">
        <f>D32</f>
        <v>0</v>
      </c>
      <c r="E56" s="14">
        <v>1</v>
      </c>
      <c r="S56" s="37" t="s">
        <v>8</v>
      </c>
      <c r="T56" s="4">
        <f t="shared" si="0"/>
        <v>0</v>
      </c>
      <c r="U56" s="38">
        <f t="shared" si="1"/>
        <v>0</v>
      </c>
    </row>
    <row r="57" spans="1:21" ht="13.8" thickBot="1" x14ac:dyDescent="0.3">
      <c r="A57" s="16" t="s">
        <v>2</v>
      </c>
      <c r="B57" s="28">
        <f>0.6*B32</f>
        <v>0</v>
      </c>
      <c r="C57" s="8">
        <f>0.15*C32</f>
        <v>0</v>
      </c>
      <c r="D57" s="8">
        <f>D32</f>
        <v>0</v>
      </c>
      <c r="E57" s="16">
        <v>1</v>
      </c>
      <c r="S57" s="37" t="s">
        <v>7</v>
      </c>
      <c r="T57" s="4">
        <f t="shared" si="0"/>
        <v>0</v>
      </c>
      <c r="U57" s="38">
        <f t="shared" si="1"/>
        <v>0</v>
      </c>
    </row>
    <row r="58" spans="1:21" x14ac:dyDescent="0.25">
      <c r="A58" s="5"/>
      <c r="S58" s="37"/>
      <c r="T58" s="4"/>
      <c r="U58" s="38"/>
    </row>
    <row r="59" spans="1:21" x14ac:dyDescent="0.25">
      <c r="A59" s="41"/>
      <c r="S59" s="37" t="s">
        <v>28</v>
      </c>
      <c r="T59" s="4">
        <f t="shared" si="0"/>
        <v>0</v>
      </c>
      <c r="U59" s="38">
        <f t="shared" si="1"/>
        <v>0</v>
      </c>
    </row>
    <row r="60" spans="1:21" x14ac:dyDescent="0.25">
      <c r="A60" s="42"/>
      <c r="S60" s="37" t="s">
        <v>0</v>
      </c>
      <c r="T60" s="4">
        <f t="shared" si="0"/>
        <v>0</v>
      </c>
      <c r="U60" s="38">
        <f t="shared" si="1"/>
        <v>0</v>
      </c>
    </row>
    <row r="61" spans="1:21" x14ac:dyDescent="0.25">
      <c r="A61" s="42"/>
      <c r="S61" s="37" t="s">
        <v>22</v>
      </c>
      <c r="T61" s="4">
        <f t="shared" si="0"/>
        <v>0</v>
      </c>
      <c r="U61" s="38">
        <f t="shared" si="1"/>
        <v>0</v>
      </c>
    </row>
    <row r="62" spans="1:21" x14ac:dyDescent="0.25">
      <c r="S62" s="37" t="s">
        <v>23</v>
      </c>
      <c r="T62" s="4">
        <f t="shared" si="0"/>
        <v>0</v>
      </c>
      <c r="U62" s="38">
        <f t="shared" si="1"/>
        <v>0</v>
      </c>
    </row>
    <row r="63" spans="1:21" x14ac:dyDescent="0.25">
      <c r="A63" s="41"/>
      <c r="S63" s="37" t="s">
        <v>28</v>
      </c>
      <c r="T63" s="4">
        <f t="shared" si="0"/>
        <v>0</v>
      </c>
      <c r="U63" s="38">
        <f t="shared" si="1"/>
        <v>0</v>
      </c>
    </row>
    <row r="64" spans="1:21" x14ac:dyDescent="0.25">
      <c r="S64" s="37"/>
      <c r="T64" s="4"/>
      <c r="U64" s="38"/>
    </row>
    <row r="65" spans="7:21" x14ac:dyDescent="0.25">
      <c r="G65" s="13"/>
      <c r="S65" s="37" t="s">
        <v>24</v>
      </c>
      <c r="T65" s="4">
        <f t="shared" si="0"/>
        <v>0</v>
      </c>
      <c r="U65" s="38">
        <f t="shared" si="1"/>
        <v>0</v>
      </c>
    </row>
    <row r="66" spans="7:21" x14ac:dyDescent="0.25">
      <c r="S66" s="37" t="s">
        <v>25</v>
      </c>
      <c r="T66" s="4">
        <f t="shared" si="0"/>
        <v>0</v>
      </c>
      <c r="U66" s="38">
        <f t="shared" ref="U66:U80" si="2">VLOOKUP(S66, $A$25:$E$57,  2)</f>
        <v>0</v>
      </c>
    </row>
    <row r="67" spans="7:21" x14ac:dyDescent="0.25">
      <c r="S67" s="37" t="s">
        <v>26</v>
      </c>
      <c r="T67" s="4">
        <f t="shared" si="0"/>
        <v>0</v>
      </c>
      <c r="U67" s="38">
        <f t="shared" si="2"/>
        <v>0</v>
      </c>
    </row>
    <row r="68" spans="7:21" x14ac:dyDescent="0.25">
      <c r="S68" s="37" t="s">
        <v>27</v>
      </c>
      <c r="T68" s="4">
        <f t="shared" si="0"/>
        <v>0</v>
      </c>
      <c r="U68" s="38">
        <f t="shared" si="2"/>
        <v>0</v>
      </c>
    </row>
    <row r="69" spans="7:21" x14ac:dyDescent="0.25">
      <c r="S69" s="37" t="s">
        <v>24</v>
      </c>
      <c r="T69" s="4">
        <f t="shared" ref="T69:T80" si="3">VLOOKUP(S69, $A$25:$E$57, 3)</f>
        <v>0</v>
      </c>
      <c r="U69" s="38">
        <f t="shared" si="2"/>
        <v>0</v>
      </c>
    </row>
    <row r="70" spans="7:21" x14ac:dyDescent="0.25">
      <c r="S70" s="37"/>
      <c r="T70" s="4"/>
      <c r="U70" s="38"/>
    </row>
    <row r="71" spans="7:21" x14ac:dyDescent="0.25">
      <c r="S71" s="37" t="s">
        <v>1</v>
      </c>
      <c r="T71" s="4">
        <f t="shared" si="3"/>
        <v>0</v>
      </c>
      <c r="U71" s="38">
        <f t="shared" si="2"/>
        <v>0</v>
      </c>
    </row>
    <row r="72" spans="7:21" x14ac:dyDescent="0.25">
      <c r="S72" s="37" t="s">
        <v>2</v>
      </c>
      <c r="T72" s="4">
        <f t="shared" si="3"/>
        <v>0</v>
      </c>
      <c r="U72" s="38">
        <f t="shared" si="2"/>
        <v>0</v>
      </c>
    </row>
    <row r="73" spans="7:21" x14ac:dyDescent="0.25">
      <c r="S73" s="37" t="s">
        <v>32</v>
      </c>
      <c r="T73" s="4">
        <f t="shared" si="3"/>
        <v>0</v>
      </c>
      <c r="U73" s="38">
        <f t="shared" si="2"/>
        <v>0</v>
      </c>
    </row>
    <row r="74" spans="7:21" x14ac:dyDescent="0.25">
      <c r="S74" s="37"/>
      <c r="T74" s="4"/>
      <c r="U74" s="38"/>
    </row>
    <row r="75" spans="7:21" x14ac:dyDescent="0.25">
      <c r="S75" s="43" t="s">
        <v>30</v>
      </c>
      <c r="T75" s="4">
        <f t="shared" si="3"/>
        <v>0</v>
      </c>
      <c r="U75" s="38">
        <f t="shared" si="2"/>
        <v>0</v>
      </c>
    </row>
    <row r="76" spans="7:21" x14ac:dyDescent="0.25">
      <c r="S76" s="43" t="s">
        <v>31</v>
      </c>
      <c r="T76" s="4">
        <f t="shared" si="3"/>
        <v>0</v>
      </c>
      <c r="U76" s="38">
        <f t="shared" si="2"/>
        <v>0</v>
      </c>
    </row>
    <row r="77" spans="7:21" x14ac:dyDescent="0.25">
      <c r="S77" s="43"/>
      <c r="T77" s="4"/>
      <c r="U77" s="38"/>
    </row>
    <row r="78" spans="7:21" x14ac:dyDescent="0.25">
      <c r="S78" s="43" t="s">
        <v>34</v>
      </c>
      <c r="T78" s="4">
        <f t="shared" si="3"/>
        <v>0</v>
      </c>
      <c r="U78" s="38">
        <f t="shared" si="2"/>
        <v>0</v>
      </c>
    </row>
    <row r="79" spans="7:21" x14ac:dyDescent="0.25">
      <c r="S79" s="43" t="s">
        <v>37</v>
      </c>
      <c r="T79" s="4">
        <f t="shared" si="3"/>
        <v>0</v>
      </c>
      <c r="U79" s="38">
        <f t="shared" si="2"/>
        <v>0</v>
      </c>
    </row>
    <row r="80" spans="7:21" ht="13.8" thickBot="1" x14ac:dyDescent="0.3">
      <c r="S80" s="44" t="s">
        <v>38</v>
      </c>
      <c r="T80" s="45">
        <f t="shared" si="3"/>
        <v>0</v>
      </c>
      <c r="U80" s="46">
        <f t="shared" si="2"/>
        <v>0</v>
      </c>
    </row>
    <row r="81" ht="13.8" thickTop="1" x14ac:dyDescent="0.25"/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9" r:id="rId4" name="cmdRezero">
          <controlPr defaultSize="0" autoLine="0" autoPict="0" r:id="rId5">
            <anchor moveWithCells="1">
              <from>
                <xdr:col>0</xdr:col>
                <xdr:colOff>342900</xdr:colOff>
                <xdr:row>3</xdr:row>
                <xdr:rowOff>99060</xdr:rowOff>
              </from>
              <to>
                <xdr:col>1</xdr:col>
                <xdr:colOff>556260</xdr:colOff>
                <xdr:row>5</xdr:row>
                <xdr:rowOff>38100</xdr:rowOff>
              </to>
            </anchor>
          </controlPr>
        </control>
      </mc:Choice>
      <mc:Fallback>
        <control shapeId="1049" r:id="rId4" name="cmdRezero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60960</xdr:rowOff>
              </from>
              <to>
                <xdr:col>1</xdr:col>
                <xdr:colOff>563880</xdr:colOff>
                <xdr:row>8</xdr:row>
                <xdr:rowOff>60960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56" r:id="rId8" name="cmdDecrement">
          <controlPr defaultSize="0" autoLine="0" autoPict="0" r:id="rId9">
            <anchor moveWithCells="1">
              <from>
                <xdr:col>0</xdr:col>
                <xdr:colOff>350520</xdr:colOff>
                <xdr:row>9</xdr:row>
                <xdr:rowOff>22860</xdr:rowOff>
              </from>
              <to>
                <xdr:col>1</xdr:col>
                <xdr:colOff>571500</xdr:colOff>
                <xdr:row>11</xdr:row>
                <xdr:rowOff>22860</xdr:rowOff>
              </to>
            </anchor>
          </controlPr>
        </control>
      </mc:Choice>
      <mc:Fallback>
        <control shapeId="1056" r:id="rId8" name="cmdDecre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Brenda Fine</cp:lastModifiedBy>
  <cp:lastPrinted>2001-04-28T16:25:21Z</cp:lastPrinted>
  <dcterms:created xsi:type="dcterms:W3CDTF">2001-04-27T20:25:39Z</dcterms:created>
  <dcterms:modified xsi:type="dcterms:W3CDTF">2016-11-15T16:17:28Z</dcterms:modified>
</cp:coreProperties>
</file>